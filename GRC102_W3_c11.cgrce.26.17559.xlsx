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Incident_Data" sheetId="2" state="visible" r:id="rId4"/>
    <sheet name="Data_Dictionary" sheetId="3" state="visible" r:id="rId5"/>
    <sheet name="Analysis_Template" sheetId="4" state="visible" r:id="rId6"/>
    <sheet name="Core_Analysis" sheetId="5" state="visible" r:id="rId7"/>
    <sheet name="Advanced_Analysis" sheetId="6" state="visible" r:id="rId8"/>
    <sheet name="CISO_Board_Insights" sheetId="7" state="visible" r:id="rId9"/>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<sst xmlns="http://schemas.openxmlformats.org/spreadsheetml/2006/main" count="2450" uniqueCount="440">
  <si>
    <t xml:space="preserve">GRC102 Week 3 – NDPC Security Governance Data Pack</t>
  </si>
  <si>
    <t xml:space="preserve">Purpose</t>
  </si>
  <si>
    <t xml:space="preserve">This workbook contains a simulated security incident dataset for the National Digital Protection Corporation (NDPC). It is provided for academic analysis in GRC102. Students should use the Incident_Data sheet to perform independent analysis, create appropriate visualisations, and connect findings to governance roles, accountability, escalation and control effectiveness.</t>
  </si>
  <si>
    <t xml:space="preserve">Dataset status</t>
  </si>
  <si>
    <t xml:space="preserve">Simulated / fictional academic dataset</t>
  </si>
  <si>
    <t xml:space="preserve">Records</t>
  </si>
  <si>
    <t xml:space="preserve">Historical period</t>
  </si>
  <si>
    <t xml:space="preserve">2024–2025</t>
  </si>
  <si>
    <t xml:space="preserve">Original records retained</t>
  </si>
  <si>
    <t xml:space="preserve">Additional simulated records</t>
  </si>
  <si>
    <t xml:space="preserve">Primary worksheet</t>
  </si>
  <si>
    <t xml:space="preserve">Incident_Data</t>
  </si>
  <si>
    <t xml:space="preserve">Supporting worksheets</t>
  </si>
  <si>
    <t xml:space="preserve">Data_Dictionary; Analysis_Template</t>
  </si>
  <si>
    <t xml:space="preserve">Academic Integrity Note</t>
  </si>
  <si>
    <t xml:space="preserve">Do not treat this dataset as real organisational evidence. Calculations, charts, interpretations and recommendations must be your own work. If AI tools are used, verify all calculations and declare material assistance in accordance with the assignment brief.</t>
  </si>
  <si>
    <t xml:space="preserve">Incident_ID</t>
  </si>
  <si>
    <t xml:space="preserve">Date</t>
  </si>
  <si>
    <t xml:space="preserve">Incident_Type</t>
  </si>
  <si>
    <t xml:space="preserve">Severity</t>
  </si>
  <si>
    <t xml:space="preserve">Status</t>
  </si>
  <si>
    <t xml:space="preserve">Department</t>
  </si>
  <si>
    <t xml:space="preserve">Responsible_Team</t>
  </si>
  <si>
    <t xml:space="preserve">Resolution_Time_Days</t>
  </si>
  <si>
    <t xml:space="preserve">Cost_Impact_USD</t>
  </si>
  <si>
    <t xml:space="preserve">Root_Cause</t>
  </si>
  <si>
    <t xml:space="preserve">Control_Domain</t>
  </si>
  <si>
    <t xml:space="preserve">Regulatory_Exposure</t>
  </si>
  <si>
    <t xml:space="preserve">Escalation_Level</t>
  </si>
  <si>
    <t xml:space="preserve">Third_Party_Involved</t>
  </si>
  <si>
    <t xml:space="preserve">SLA_Target_Days</t>
  </si>
  <si>
    <t xml:space="preserve">SLA_Breached</t>
  </si>
  <si>
    <t xml:space="preserve">INC0001</t>
  </si>
  <si>
    <t xml:space="preserve">Malware</t>
  </si>
  <si>
    <t xml:space="preserve">Medium</t>
  </si>
  <si>
    <t xml:space="preserve">Open</t>
  </si>
  <si>
    <t xml:space="preserve">Operations</t>
  </si>
  <si>
    <t xml:space="preserve">Compliance</t>
  </si>
  <si>
    <t xml:space="preserve">Malicious attachment</t>
  </si>
  <si>
    <t xml:space="preserve">Endpoint Security</t>
  </si>
  <si>
    <t xml:space="preserve">Contractual</t>
  </si>
  <si>
    <t xml:space="preserve">CISO / Department Head</t>
  </si>
  <si>
    <t xml:space="preserve">No</t>
  </si>
  <si>
    <t xml:space="preserve">Pending</t>
  </si>
  <si>
    <t xml:space="preserve">INC0002</t>
  </si>
  <si>
    <t xml:space="preserve">Misconfiguration</t>
  </si>
  <si>
    <t xml:space="preserve">High</t>
  </si>
  <si>
    <t xml:space="preserve">On Hold</t>
  </si>
  <si>
    <t xml:space="preserve">Finance</t>
  </si>
  <si>
    <t xml:space="preserve">Access rule misconfiguration</t>
  </si>
  <si>
    <t xml:space="preserve">Configuration Management</t>
  </si>
  <si>
    <t xml:space="preserve">None</t>
  </si>
  <si>
    <t xml:space="preserve">Executive / CISO</t>
  </si>
  <si>
    <t xml:space="preserve">Yes</t>
  </si>
  <si>
    <t xml:space="preserve">INC0003</t>
  </si>
  <si>
    <t xml:space="preserve">Closed</t>
  </si>
  <si>
    <t xml:space="preserve">HR</t>
  </si>
  <si>
    <t xml:space="preserve">IT Security</t>
  </si>
  <si>
    <t xml:space="preserve">Unsafe software installation</t>
  </si>
  <si>
    <t xml:space="preserve">INC0004</t>
  </si>
  <si>
    <t xml:space="preserve">SOC</t>
  </si>
  <si>
    <t xml:space="preserve">INC0005</t>
  </si>
  <si>
    <t xml:space="preserve">DDoS</t>
  </si>
  <si>
    <t xml:space="preserve">Capacity planning gap</t>
  </si>
  <si>
    <t xml:space="preserve">Network Resilience</t>
  </si>
  <si>
    <t xml:space="preserve">Financial Data</t>
  </si>
  <si>
    <t xml:space="preserve">INC0006</t>
  </si>
  <si>
    <t xml:space="preserve">Low</t>
  </si>
  <si>
    <t xml:space="preserve">Insufficient rate limiting</t>
  </si>
  <si>
    <t xml:space="preserve">Operational</t>
  </si>
  <si>
    <t xml:space="preserve">INC0007</t>
  </si>
  <si>
    <t xml:space="preserve">Phishing</t>
  </si>
  <si>
    <t xml:space="preserve">Spoofed business email</t>
  </si>
  <si>
    <t xml:space="preserve">Security Awareness</t>
  </si>
  <si>
    <t xml:space="preserve">Privacy</t>
  </si>
  <si>
    <t xml:space="preserve">INC0008</t>
  </si>
  <si>
    <t xml:space="preserve">Unauthorized Access</t>
  </si>
  <si>
    <t xml:space="preserve">Excessive privileges</t>
  </si>
  <si>
    <t xml:space="preserve">Identity &amp; Access Management</t>
  </si>
  <si>
    <t xml:space="preserve">INC0009</t>
  </si>
  <si>
    <t xml:space="preserve">In Progress</t>
  </si>
  <si>
    <t xml:space="preserve">INC0010</t>
  </si>
  <si>
    <t xml:space="preserve">Credential harvesting</t>
  </si>
  <si>
    <t xml:space="preserve">INC0011</t>
  </si>
  <si>
    <t xml:space="preserve">Data Leak</t>
  </si>
  <si>
    <t xml:space="preserve">Data handling error</t>
  </si>
  <si>
    <t xml:space="preserve">Data Protection</t>
  </si>
  <si>
    <t xml:space="preserve">INC0012</t>
  </si>
  <si>
    <t xml:space="preserve">IT</t>
  </si>
  <si>
    <t xml:space="preserve">INC0013</t>
  </si>
  <si>
    <t xml:space="preserve">Legal</t>
  </si>
  <si>
    <t xml:space="preserve">Regulatory</t>
  </si>
  <si>
    <t xml:space="preserve">INC0014</t>
  </si>
  <si>
    <t xml:space="preserve">Dormant account misuse</t>
  </si>
  <si>
    <t xml:space="preserve">INC0015</t>
  </si>
  <si>
    <t xml:space="preserve">Improper sharing</t>
  </si>
  <si>
    <t xml:space="preserve">INC0016</t>
  </si>
  <si>
    <t xml:space="preserve">INC0017</t>
  </si>
  <si>
    <t xml:space="preserve">INC0018</t>
  </si>
  <si>
    <t xml:space="preserve">DevOps</t>
  </si>
  <si>
    <t xml:space="preserve">INC0019</t>
  </si>
  <si>
    <t xml:space="preserve">INC0020</t>
  </si>
  <si>
    <t xml:space="preserve">Unpatched endpoint</t>
  </si>
  <si>
    <t xml:space="preserve">INC0021</t>
  </si>
  <si>
    <t xml:space="preserve">INC0022</t>
  </si>
  <si>
    <t xml:space="preserve">Critical</t>
  </si>
  <si>
    <t xml:space="preserve">Board / Executive</t>
  </si>
  <si>
    <t xml:space="preserve">INC0023</t>
  </si>
  <si>
    <t xml:space="preserve">INC0024</t>
  </si>
  <si>
    <t xml:space="preserve">Misconfigured storage</t>
  </si>
  <si>
    <t xml:space="preserve">INC0025</t>
  </si>
  <si>
    <t xml:space="preserve">INC0026</t>
  </si>
  <si>
    <t xml:space="preserve">INC0027</t>
  </si>
  <si>
    <t xml:space="preserve">INC0028</t>
  </si>
  <si>
    <t xml:space="preserve">INC0029</t>
  </si>
  <si>
    <t xml:space="preserve">Change-control failure</t>
  </si>
  <si>
    <t xml:space="preserve">INC0030</t>
  </si>
  <si>
    <t xml:space="preserve">INC0031</t>
  </si>
  <si>
    <t xml:space="preserve">INC0032</t>
  </si>
  <si>
    <t xml:space="preserve">Compromised credentials</t>
  </si>
  <si>
    <t xml:space="preserve">INC0033</t>
  </si>
  <si>
    <t xml:space="preserve">INC0034</t>
  </si>
  <si>
    <t xml:space="preserve">INC0035</t>
  </si>
  <si>
    <t xml:space="preserve">INC0036</t>
  </si>
  <si>
    <t xml:space="preserve">INC0037</t>
  </si>
  <si>
    <t xml:space="preserve">User awareness gap</t>
  </si>
  <si>
    <t xml:space="preserve">INC0038</t>
  </si>
  <si>
    <t xml:space="preserve">External botnet activity</t>
  </si>
  <si>
    <t xml:space="preserve">INC0039</t>
  </si>
  <si>
    <t xml:space="preserve">INC0040</t>
  </si>
  <si>
    <t xml:space="preserve">INC0041</t>
  </si>
  <si>
    <t xml:space="preserve">INC0042</t>
  </si>
  <si>
    <t xml:space="preserve">INC0043</t>
  </si>
  <si>
    <t xml:space="preserve">INC0044</t>
  </si>
  <si>
    <t xml:space="preserve">INC0045</t>
  </si>
  <si>
    <t xml:space="preserve">INC0046</t>
  </si>
  <si>
    <t xml:space="preserve">INC0047</t>
  </si>
  <si>
    <t xml:space="preserve">Employment Data</t>
  </si>
  <si>
    <t xml:space="preserve">INC0048</t>
  </si>
  <si>
    <t xml:space="preserve">INC0049</t>
  </si>
  <si>
    <t xml:space="preserve">INC0050</t>
  </si>
  <si>
    <t xml:space="preserve">INC0051</t>
  </si>
  <si>
    <t xml:space="preserve">INC0052</t>
  </si>
  <si>
    <t xml:space="preserve">INC0053</t>
  </si>
  <si>
    <t xml:space="preserve">INC0054</t>
  </si>
  <si>
    <t xml:space="preserve">INC0055</t>
  </si>
  <si>
    <t xml:space="preserve">INC0056</t>
  </si>
  <si>
    <t xml:space="preserve">INC0057</t>
  </si>
  <si>
    <t xml:space="preserve">INC0058</t>
  </si>
  <si>
    <t xml:space="preserve">INC0059</t>
  </si>
  <si>
    <t xml:space="preserve">INC0060</t>
  </si>
  <si>
    <t xml:space="preserve">INC0061</t>
  </si>
  <si>
    <t xml:space="preserve">INC0062</t>
  </si>
  <si>
    <t xml:space="preserve">INC0063</t>
  </si>
  <si>
    <t xml:space="preserve">INC0064</t>
  </si>
  <si>
    <t xml:space="preserve">INC0065</t>
  </si>
  <si>
    <t xml:space="preserve">INC0066</t>
  </si>
  <si>
    <t xml:space="preserve">INC0067</t>
  </si>
  <si>
    <t xml:space="preserve">INC0068</t>
  </si>
  <si>
    <t xml:space="preserve">INC0069</t>
  </si>
  <si>
    <t xml:space="preserve">INC0070</t>
  </si>
  <si>
    <t xml:space="preserve">INC0071</t>
  </si>
  <si>
    <t xml:space="preserve">INC0072</t>
  </si>
  <si>
    <t xml:space="preserve">INC0073</t>
  </si>
  <si>
    <t xml:space="preserve">INC0074</t>
  </si>
  <si>
    <t xml:space="preserve">INC0075</t>
  </si>
  <si>
    <t xml:space="preserve">INC0076</t>
  </si>
  <si>
    <t xml:space="preserve">INC0077</t>
  </si>
  <si>
    <t xml:space="preserve">INC0078</t>
  </si>
  <si>
    <t xml:space="preserve">INC0079</t>
  </si>
  <si>
    <t xml:space="preserve">INC0080</t>
  </si>
  <si>
    <t xml:space="preserve">INC0081</t>
  </si>
  <si>
    <t xml:space="preserve">INC0082</t>
  </si>
  <si>
    <t xml:space="preserve">INC0083</t>
  </si>
  <si>
    <t xml:space="preserve">INC0084</t>
  </si>
  <si>
    <t xml:space="preserve">INC0085</t>
  </si>
  <si>
    <t xml:space="preserve">INC0086</t>
  </si>
  <si>
    <t xml:space="preserve">INC0087</t>
  </si>
  <si>
    <t xml:space="preserve">INC0088</t>
  </si>
  <si>
    <t xml:space="preserve">INC0089</t>
  </si>
  <si>
    <t xml:space="preserve">INC0090</t>
  </si>
  <si>
    <t xml:space="preserve">INC0091</t>
  </si>
  <si>
    <t xml:space="preserve">INC0092</t>
  </si>
  <si>
    <t xml:space="preserve">INC0093</t>
  </si>
  <si>
    <t xml:space="preserve">INC0094</t>
  </si>
  <si>
    <t xml:space="preserve">INC0095</t>
  </si>
  <si>
    <t xml:space="preserve">INC0096</t>
  </si>
  <si>
    <t xml:space="preserve">INC0097</t>
  </si>
  <si>
    <t xml:space="preserve">INC0098</t>
  </si>
  <si>
    <t xml:space="preserve">INC0099</t>
  </si>
  <si>
    <t xml:space="preserve">INC0100</t>
  </si>
  <si>
    <t xml:space="preserve">INC0101</t>
  </si>
  <si>
    <t xml:space="preserve">Academic Services</t>
  </si>
  <si>
    <t xml:space="preserve">Incident Response</t>
  </si>
  <si>
    <t xml:space="preserve">INC0102</t>
  </si>
  <si>
    <t xml:space="preserve">Lost Device</t>
  </si>
  <si>
    <t xml:space="preserve">Unencrypted removable media</t>
  </si>
  <si>
    <t xml:space="preserve">Asset &amp; Endpoint Security</t>
  </si>
  <si>
    <t xml:space="preserve">INC0103</t>
  </si>
  <si>
    <t xml:space="preserve">Cloud Operations</t>
  </si>
  <si>
    <t xml:space="preserve">INC0104</t>
  </si>
  <si>
    <t xml:space="preserve">Third-Party Breach</t>
  </si>
  <si>
    <t xml:space="preserve">Supply-chain weakness</t>
  </si>
  <si>
    <t xml:space="preserve">Third-Party Risk</t>
  </si>
  <si>
    <t xml:space="preserve">INC0105</t>
  </si>
  <si>
    <t xml:space="preserve">INC0106</t>
  </si>
  <si>
    <t xml:space="preserve">INC0107</t>
  </si>
  <si>
    <t xml:space="preserve">Student Services</t>
  </si>
  <si>
    <t xml:space="preserve">Education Records</t>
  </si>
  <si>
    <t xml:space="preserve">INC0108</t>
  </si>
  <si>
    <t xml:space="preserve">Insider Threat</t>
  </si>
  <si>
    <t xml:space="preserve">Unauthorized data transfer</t>
  </si>
  <si>
    <t xml:space="preserve">Privileged Access &amp; Monitoring</t>
  </si>
  <si>
    <t xml:space="preserve">INC0109</t>
  </si>
  <si>
    <t xml:space="preserve">INC0110</t>
  </si>
  <si>
    <t xml:space="preserve">INC0111</t>
  </si>
  <si>
    <t xml:space="preserve">Policy violation</t>
  </si>
  <si>
    <t xml:space="preserve">INC0112</t>
  </si>
  <si>
    <t xml:space="preserve">INC0113</t>
  </si>
  <si>
    <t xml:space="preserve">Credential Theft</t>
  </si>
  <si>
    <t xml:space="preserve">IAM</t>
  </si>
  <si>
    <t xml:space="preserve">INC0114</t>
  </si>
  <si>
    <t xml:space="preserve">INC0115</t>
  </si>
  <si>
    <t xml:space="preserve">INC0116</t>
  </si>
  <si>
    <t xml:space="preserve">INC0117</t>
  </si>
  <si>
    <t xml:space="preserve">INC0118</t>
  </si>
  <si>
    <t xml:space="preserve">GRC</t>
  </si>
  <si>
    <t xml:space="preserve">Third-party access abuse</t>
  </si>
  <si>
    <t xml:space="preserve">INC0119</t>
  </si>
  <si>
    <t xml:space="preserve">Vendor compromise</t>
  </si>
  <si>
    <t xml:space="preserve">INC0120</t>
  </si>
  <si>
    <t xml:space="preserve">Research</t>
  </si>
  <si>
    <t xml:space="preserve">INC0121</t>
  </si>
  <si>
    <t xml:space="preserve">INC0122</t>
  </si>
  <si>
    <t xml:space="preserve">INC0123</t>
  </si>
  <si>
    <t xml:space="preserve">Asset loss</t>
  </si>
  <si>
    <t xml:space="preserve">Research Data</t>
  </si>
  <si>
    <t xml:space="preserve">INC0124</t>
  </si>
  <si>
    <t xml:space="preserve">INC0125</t>
  </si>
  <si>
    <t xml:space="preserve">INC0126</t>
  </si>
  <si>
    <t xml:space="preserve">Cloud Exposure</t>
  </si>
  <si>
    <t xml:space="preserve">IAM misconfiguration</t>
  </si>
  <si>
    <t xml:space="preserve">Cloud Security</t>
  </si>
  <si>
    <t xml:space="preserve">INC0127</t>
  </si>
  <si>
    <t xml:space="preserve">INC0128</t>
  </si>
  <si>
    <t xml:space="preserve">INC0129</t>
  </si>
  <si>
    <t xml:space="preserve">INC0130</t>
  </si>
  <si>
    <t xml:space="preserve">Password reuse</t>
  </si>
  <si>
    <t xml:space="preserve">INC0131</t>
  </si>
  <si>
    <t xml:space="preserve">INC0132</t>
  </si>
  <si>
    <t xml:space="preserve">Cloud configuration error</t>
  </si>
  <si>
    <t xml:space="preserve">INC0133</t>
  </si>
  <si>
    <t xml:space="preserve">INC0134</t>
  </si>
  <si>
    <t xml:space="preserve">INC0135</t>
  </si>
  <si>
    <t xml:space="preserve">INC0136</t>
  </si>
  <si>
    <t xml:space="preserve">Security group error</t>
  </si>
  <si>
    <t xml:space="preserve">INC0137</t>
  </si>
  <si>
    <t xml:space="preserve">INC0138</t>
  </si>
  <si>
    <t xml:space="preserve">INC0139</t>
  </si>
  <si>
    <t xml:space="preserve">INC0140</t>
  </si>
  <si>
    <t xml:space="preserve">INC0141</t>
  </si>
  <si>
    <t xml:space="preserve">INC0142</t>
  </si>
  <si>
    <t xml:space="preserve">INC0143</t>
  </si>
  <si>
    <t xml:space="preserve">INC0144</t>
  </si>
  <si>
    <t xml:space="preserve">INC0145</t>
  </si>
  <si>
    <t xml:space="preserve">INC0146</t>
  </si>
  <si>
    <t xml:space="preserve">INC0147</t>
  </si>
  <si>
    <t xml:space="preserve">INC0148</t>
  </si>
  <si>
    <t xml:space="preserve">INC0149</t>
  </si>
  <si>
    <t xml:space="preserve">INC0150</t>
  </si>
  <si>
    <t xml:space="preserve">INC0151</t>
  </si>
  <si>
    <t xml:space="preserve">INC0152</t>
  </si>
  <si>
    <t xml:space="preserve">INC0153</t>
  </si>
  <si>
    <t xml:space="preserve">INC0154</t>
  </si>
  <si>
    <t xml:space="preserve">INC0155</t>
  </si>
  <si>
    <t xml:space="preserve">INC0156</t>
  </si>
  <si>
    <t xml:space="preserve">Public storage exposure</t>
  </si>
  <si>
    <t xml:space="preserve">INC0157</t>
  </si>
  <si>
    <t xml:space="preserve">INC0158</t>
  </si>
  <si>
    <t xml:space="preserve">INC0159</t>
  </si>
  <si>
    <t xml:space="preserve">INC0160</t>
  </si>
  <si>
    <t xml:space="preserve">INC0161</t>
  </si>
  <si>
    <t xml:space="preserve">INC0162</t>
  </si>
  <si>
    <t xml:space="preserve">INC0163</t>
  </si>
  <si>
    <t xml:space="preserve">Policy Violation</t>
  </si>
  <si>
    <t xml:space="preserve">Unauthorized cloud service</t>
  </si>
  <si>
    <t xml:space="preserve">Policy Compliance</t>
  </si>
  <si>
    <t xml:space="preserve">INC0164</t>
  </si>
  <si>
    <t xml:space="preserve">INC0165</t>
  </si>
  <si>
    <t xml:space="preserve">INC0166</t>
  </si>
  <si>
    <t xml:space="preserve">INC0167</t>
  </si>
  <si>
    <t xml:space="preserve">INC0168</t>
  </si>
  <si>
    <t xml:space="preserve">MFA fatigue attack</t>
  </si>
  <si>
    <t xml:space="preserve">INC0169</t>
  </si>
  <si>
    <t xml:space="preserve">INC0170</t>
  </si>
  <si>
    <t xml:space="preserve">INC0171</t>
  </si>
  <si>
    <t xml:space="preserve">INC0172</t>
  </si>
  <si>
    <t xml:space="preserve">INC0173</t>
  </si>
  <si>
    <t xml:space="preserve">INC0174</t>
  </si>
  <si>
    <t xml:space="preserve">Weak device handling</t>
  </si>
  <si>
    <t xml:space="preserve">INC0175</t>
  </si>
  <si>
    <t xml:space="preserve">INC0176</t>
  </si>
  <si>
    <t xml:space="preserve">INC0177</t>
  </si>
  <si>
    <t xml:space="preserve">INC0178</t>
  </si>
  <si>
    <t xml:space="preserve">INC0179</t>
  </si>
  <si>
    <t xml:space="preserve">INC0180</t>
  </si>
  <si>
    <t xml:space="preserve">Field</t>
  </si>
  <si>
    <t xml:space="preserve">Description</t>
  </si>
  <si>
    <t xml:space="preserve">Example / Values</t>
  </si>
  <si>
    <t xml:space="preserve">Unique simulated incident identifier.</t>
  </si>
  <si>
    <t xml:space="preserve">Date on which the incident was recorded.</t>
  </si>
  <si>
    <t xml:space="preserve">2025-03-17</t>
  </si>
  <si>
    <t xml:space="preserve">Primary incident category.</t>
  </si>
  <si>
    <t xml:space="preserve">Malware, Phishing, Data Leak, Cloud Exposure, etc.</t>
  </si>
  <si>
    <t xml:space="preserve">Business/security severity assigned to the incident.</t>
  </si>
  <si>
    <t xml:space="preserve">Low, Medium, High, Critical</t>
  </si>
  <si>
    <t xml:space="preserve">Current incident state.</t>
  </si>
  <si>
    <t xml:space="preserve">Closed, In Progress, Open, On Hold</t>
  </si>
  <si>
    <t xml:space="preserve">Business unit most directly affected.</t>
  </si>
  <si>
    <t xml:space="preserve">Finance, HR, IT, Operations, etc.</t>
  </si>
  <si>
    <t xml:space="preserve">Team accountable for coordinating the response.</t>
  </si>
  <si>
    <t xml:space="preserve">SOC, IT Security, GRC, IAM, Cloud Security, etc.</t>
  </si>
  <si>
    <t xml:space="preserve">Days taken to resolve a closed incident or elapsed days recorded for an unresolved incident.</t>
  </si>
  <si>
    <t xml:space="preserve">1–30+</t>
  </si>
  <si>
    <t xml:space="preserve">Estimated direct and indirect cost impact in US dollars.</t>
  </si>
  <si>
    <t xml:space="preserve">25000</t>
  </si>
  <si>
    <t xml:space="preserve">Primary contributing root-cause category.</t>
  </si>
  <si>
    <t xml:space="preserve">Compromised credentials, Change-control failure, etc.</t>
  </si>
  <si>
    <t xml:space="preserve">Governance/control domain associated with the incident.</t>
  </si>
  <si>
    <t xml:space="preserve">Identity &amp; Access Management, Data Protection, etc.</t>
  </si>
  <si>
    <t xml:space="preserve">High-level regulatory, contractual or data-governance exposure category.</t>
  </si>
  <si>
    <t xml:space="preserve">Privacy, Contractual, Operational, None</t>
  </si>
  <si>
    <t xml:space="preserve">Expected governance escalation based primarily on severity.</t>
  </si>
  <si>
    <t xml:space="preserve">Operational; CISO / Department Head; Executive / CISO; Board / Executive</t>
  </si>
  <si>
    <t xml:space="preserve">Whether a third party materially contributed to or was involved in the incident.</t>
  </si>
  <si>
    <t xml:space="preserve">Yes / No</t>
  </si>
  <si>
    <t xml:space="preserve">Simulated target resolution period based on severity.</t>
  </si>
  <si>
    <t xml:space="preserve">3, 7, 14, 30</t>
  </si>
  <si>
    <t xml:space="preserve">Whether a closed incident exceeded the simulated resolution SLA; unresolved incidents are Pending.</t>
  </si>
  <si>
    <t xml:space="preserve">Yes / No / Pending</t>
  </si>
  <si>
    <t xml:space="preserve">GRC102 Week 3 Student Analysis Template</t>
  </si>
  <si>
    <t xml:space="preserve">Use this sheet as a planning workspace. Do not submit it as a substitute for the written assignment unless instructed.</t>
  </si>
  <si>
    <t xml:space="preserve">Analysis Requirement</t>
  </si>
  <si>
    <t xml:space="preserve">Your Notes / Result</t>
  </si>
  <si>
    <t xml:space="preserve">Total number of incidents</t>
  </si>
  <si>
    <t xml:space="preserve">180 (see Core_Analysis!B5)</t>
  </si>
  <si>
    <t xml:space="preserve">Distribution by Incident_Type</t>
  </si>
  <si>
    <t xml:space="preserve">See Core_Analysis, Section 2 table and chart</t>
  </si>
  <si>
    <t xml:space="preserve">Average Resolution_Time_Days by Severity</t>
  </si>
  <si>
    <t xml:space="preserve">See Core_Analysis, Section 3 table</t>
  </si>
  <si>
    <t xml:space="preserve">Total Cost_Impact_USD by Department</t>
  </si>
  <si>
    <t xml:space="preserve">See Core_Analysis, Section 4 table and chart</t>
  </si>
  <si>
    <t xml:space="preserve">Total Cost_Impact_USD by Responsible_Team</t>
  </si>
  <si>
    <t xml:space="preserve">See Core_Analysis, Section 5 table</t>
  </si>
  <si>
    <t xml:space="preserve">Top 3 Incident_Type categories by average Cost_Impact_USD</t>
  </si>
  <si>
    <t xml:space="preserve">Insider Threat, Cloud Exposure, Third-Party Breach — see Core_Analysis, Section 6 (ranked)</t>
  </si>
  <si>
    <t xml:space="preserve">Percentage of incidents that are Open or In Progress</t>
  </si>
  <si>
    <t xml:space="preserve">25.6% — see Core_Analysis, Section 7</t>
  </si>
  <si>
    <t xml:space="preserve">SLA breach pattern by Severity / Responsible_Team (advanced)</t>
  </si>
  <si>
    <t xml:space="preserve">See Advanced_Analysis, Tables 1-2</t>
  </si>
  <si>
    <t xml:space="preserve">Regulatory exposure trends (advanced)</t>
  </si>
  <si>
    <t xml:space="preserve">See Advanced_Analysis, Table 3</t>
  </si>
  <si>
    <t xml:space="preserve">Third-party involvement trends (advanced)</t>
  </si>
  <si>
    <t xml:space="preserve">See Advanced_Analysis, Table 4</t>
  </si>
  <si>
    <t xml:space="preserve">Most important governance insight #1</t>
  </si>
  <si>
    <t xml:space="preserve">IAM SLA breaches drive risk; see CISO_Board_Insights #1</t>
  </si>
  <si>
    <t xml:space="preserve">Governance recommendation #1</t>
  </si>
  <si>
    <t xml:space="preserve">See CISO_Board_Insights row 1, recommended action</t>
  </si>
  <si>
    <t xml:space="preserve">Most important governance insight #2</t>
  </si>
  <si>
    <t xml:space="preserve">Third-party incidents cost 42% more and escalate more; see CISO_Board_Insights #2</t>
  </si>
  <si>
    <t xml:space="preserve">Governance recommendation #2</t>
  </si>
  <si>
    <t xml:space="preserve">See CISO_Board_Insights row 2, recommended action</t>
  </si>
  <si>
    <t xml:space="preserve">Most important governance insight #3</t>
  </si>
  <si>
    <t xml:space="preserve">IAM and Privileged Access &amp; Monitoring are top governance-attention domains; see CISO_Board_Insights #3</t>
  </si>
  <si>
    <t xml:space="preserve">Governance recommendation #3</t>
  </si>
  <si>
    <t xml:space="preserve">See CISO_Board_Insights row 3, recommended action</t>
  </si>
  <si>
    <t xml:space="preserve">GRC102 Week 3 — Part D1: Core NDPC Incident Analysis</t>
  </si>
  <si>
    <t xml:space="preserve">All figures below are computed live from the Incident_Data sheet using formulas (COUNT/SUM/AVERAGEIF family). Re-run if source data changes.</t>
  </si>
  <si>
    <t xml:space="preserve">1. Total number of incidents</t>
  </si>
  <si>
    <t xml:space="preserve">Total incidents (Incident_Data row count)</t>
  </si>
  <si>
    <t xml:space="preserve">2. Distribution of incidents by Incident_Type</t>
  </si>
  <si>
    <t xml:space="preserve">Count</t>
  </si>
  <si>
    <t xml:space="preserve">% of Total</t>
  </si>
  <si>
    <t xml:space="preserve">3. Average Resolution_Time_Days by Severity</t>
  </si>
  <si>
    <t xml:space="preserve">Avg Resolution Days</t>
  </si>
  <si>
    <t xml:space="preserve">Incident Count</t>
  </si>
  <si>
    <t xml:space="preserve">4. Total Cost_Impact_USD by Department</t>
  </si>
  <si>
    <t xml:space="preserve">Total Cost Impact (USD)</t>
  </si>
  <si>
    <t xml:space="preserve">5. Total Cost_Impact_USD by Responsible_Team</t>
  </si>
  <si>
    <t xml:space="preserve">6. Average Cost_Impact_USD by Incident_Type (top 3 highlighted)</t>
  </si>
  <si>
    <t xml:space="preserve">Average Cost Impact (USD)</t>
  </si>
  <si>
    <t xml:space="preserve">Rank</t>
  </si>
  <si>
    <t xml:space="preserve">7. Percentage of incidents with Status = Open or In Progress</t>
  </si>
  <si>
    <t xml:space="preserve">Count Open</t>
  </si>
  <si>
    <t xml:space="preserve">Count In Progress</t>
  </si>
  <si>
    <t xml:space="preserve">% Open or In Progress</t>
  </si>
  <si>
    <t xml:space="preserve">GRC102 Week 3 — Part D2: Advanced Governance Analysis</t>
  </si>
  <si>
    <t xml:space="preserve">SLA breach rate is calculated only over incidents with a determined SLA outcome (SLA_Breached = Yes/No); 'Pending' (still open) incidents are excluded from the denominator, consistent with the Data_Dictionary definition.</t>
  </si>
  <si>
    <t xml:space="preserve">1. SLA_Breached pattern by Severity (resolved incidents only)</t>
  </si>
  <si>
    <t xml:space="preserve">Breached (Yes)</t>
  </si>
  <si>
    <t xml:space="preserve">Not Breached (No)</t>
  </si>
  <si>
    <t xml:space="preserve">Resolved Total</t>
  </si>
  <si>
    <t xml:space="preserve">Breach Rate %</t>
  </si>
  <si>
    <t xml:space="preserve">2. SLA_Breached pattern by Responsible_Team (resolved incidents only)</t>
  </si>
  <si>
    <t xml:space="preserve">3. Regulatory_Exposure pattern by Department (count of incidents per exposure category)</t>
  </si>
  <si>
    <t xml:space="preserve">4. Third-party involvement — severity, cost and escalation association</t>
  </si>
  <si>
    <t xml:space="preserve">Critical/High Count</t>
  </si>
  <si>
    <t xml:space="preserve">Critical/High %</t>
  </si>
  <si>
    <t xml:space="preserve">Board/Executive Escalations</t>
  </si>
  <si>
    <t xml:space="preserve">5. Control_Domain governance-attention scorecard</t>
  </si>
  <si>
    <t xml:space="preserve">Total Cost (USD)</t>
  </si>
  <si>
    <t xml:space="preserve">Average Cost (USD)</t>
  </si>
  <si>
    <t xml:space="preserve">SLA Breach Rate % (resolved)</t>
  </si>
  <si>
    <t xml:space="preserve">Note: Identity &amp; Access Management carries the largest total cost exposure and incident volume of any domain; Privileged Access &amp; Monitoring, though low-volume, shows the highest average cost per incident and the highest severity concentration. Both are discussed as governance-attention priorities in the written report (Part D2/D3).</t>
  </si>
  <si>
    <t xml:space="preserve">GRC102 Week 3 — Part D3: Three Critical Insights for the CISO</t>
  </si>
  <si>
    <t xml:space="preserve">Each insight below is drawn directly from the Core_Analysis and Advanced_Analysis sheets and is cross-referenced to the underlying table.</t>
  </si>
  <si>
    <t xml:space="preserve">#</t>
  </si>
  <si>
    <t xml:space="preserve">Finding</t>
  </si>
  <si>
    <t xml:space="preserve">Supporting Data (source table)</t>
  </si>
  <si>
    <t xml:space="preserve">Governance Significance</t>
  </si>
  <si>
    <t xml:space="preserve">Accountable / Responsible Role(s)</t>
  </si>
  <si>
    <t xml:space="preserve">Recommended Action, Owner &amp; KPI</t>
  </si>
  <si>
    <t xml:space="preserve">1</t>
  </si>
  <si>
    <t xml:space="preserve">High and Critical severity incidents breach their resolution SLA far more often than Medium or Low severity incidents (73.5% and 70.6% breach rates respectively, vs 34.7% for Medium and 0% for Low, among resolved incidents).</t>
  </si>
  <si>
    <t xml:space="preserve">Advanced_Analysis, Table 1 (SLA breach by Severity)</t>
  </si>
  <si>
    <t xml:space="preserve">The incidents that matter most for regulatory and Board exposure are also the ones most likely to run late, which directly undermines the credibility of the escalation-timing commitments used in the material cyber-risk escalation workflow.</t>
  </si>
  <si>
    <t xml:space="preserve">Accountable: CISO. Responsible: IT Security and SOC (highest-volume responders); CRO consulted on risk-acceptance of repeat SLA misses.</t>
  </si>
  <si>
    <t xml:space="preserve">Action: introduce a mandatory management review for any Critical/High incident forecast to breach SLA at the 50% elapsed-time mark. Owner: CISO's governance secretariat. KPI: Critical/High SLA breach rate reduced below 40% within two quarters.</t>
  </si>
  <si>
    <t xml:space="preserve">2</t>
  </si>
  <si>
    <t xml:space="preserve">Incidents involving a third party cost 42% more on average than incidents with no third-party involvement (approx. $73,700 vs $52,000) and are escalated to Board/Executive level slightly more often (13.9% vs 10.2%).</t>
  </si>
  <si>
    <t xml:space="preserve">Advanced_Analysis, Table 4 (Third-party involvement)</t>
  </si>
  <si>
    <t xml:space="preserve">Third-party risk is not confined to the Third-Party Risk control domain on paper; it is a material cost and escalation driver in practice, which strengthens the case for centralising third-party risk acceptance rather than leaving it to individual business units.</t>
  </si>
  <si>
    <t xml:space="preserve">Accountable: CRO / Risk (risk acceptance) and Legal (contractual exposure). Responsible: Procurement and the CISO's Third-Party Risk Working Group.</t>
  </si>
  <si>
    <t xml:space="preserve">Action: require CISO-office security review before contract signature for any vendor with data or system access, independent of the requesting business unit. Owner: Head of Third-Party Risk Working Group. KPI: 100% of new material vendor contracts carry a completed security review before signature.</t>
  </si>
  <si>
    <t xml:space="preserve">3</t>
  </si>
  <si>
    <t xml:space="preserve">Identity &amp; Access Management is the largest single control domain by incident volume (33 incidents) and total cost impact ($1.93m), while the smaller Privileged Access &amp; Monitoring domain has the highest average cost per incident (~$138,500) and the highest severity concentration (100% Critical/High) of any domain.</t>
  </si>
  <si>
    <t xml:space="preserve">Advanced_Analysis, Table 5 (Control_Domain scorecard)</t>
  </si>
  <si>
    <t xml:space="preserve">Access-related control weaknesses are NDPC's single largest quantifiable governance exposure, and the small number of privileged-access incidents disproportionately drives severe outcomes, indicating that access governance (RACI activity: Privileged access approval) is under-resourced relative to its risk contribution.</t>
  </si>
  <si>
    <t xml:space="preserve">Accountable: CISO. Responsible: IAM team and IT. Consulted: Internal Audit for independent testing of access controls.</t>
  </si>
  <si>
    <t xml:space="preserve">Action: commission an independent review of privileged-access approval and recertification controls within the next quarter, with quarterly access recertification thereafter. Owner: IAM Team Lead, reporting to CISO. KPI: privileged-access incidents reduced and 100% of privileged accounts recertified each quarter.</t>
  </si>
</sst>
</file>

<file path=xl/styles.xml><?xml version="1.0" encoding="utf-8"?>
<styleSheet xmlns="http://schemas.openxmlformats.org/spreadsheetml/2006/main">
  <numFmts count="7">
    <numFmt numFmtId="164" formatCode="General"/>
    <numFmt numFmtId="165" formatCode="yyyy\-mm\-dd"/>
    <numFmt numFmtId="166" formatCode="\$#,##0"/>
    <numFmt numFmtId="167" formatCode="General"/>
    <numFmt numFmtId="168" formatCode="0.0%"/>
    <numFmt numFmtId="169" formatCode="0.0"/>
    <numFmt numFmtId="170" formatCode="0%"/>
  </numFmts>
  <fonts count="19">
    <font>
      <sz val="10"/>
      <name val="Arial"/>
      <family val="2"/>
    </font>
    <font>
      <sz val="10"/>
      <name val="Arial"/>
      <family val="0"/>
    </font>
    <font>
      <sz val="10"/>
      <name val="Arial"/>
      <family val="0"/>
    </font>
    <font>
      <sz val="10"/>
      <name val="Arial"/>
      <family val="0"/>
    </font>
    <font>
      <sz val="11"/>
      <name val="Calibri"/>
      <family val="0"/>
      <charset val="1"/>
    </font>
    <font>
      <b val="true"/>
      <sz val="15"/>
      <color rgb="FFFFFFFF"/>
      <name val="Calibri"/>
      <family val="0"/>
      <charset val="1"/>
    </font>
    <font>
      <b val="true"/>
      <sz val="11"/>
      <color rgb="FF0D3265"/>
      <name val="Calibri"/>
      <family val="0"/>
      <charset val="1"/>
    </font>
    <font>
      <b val="true"/>
      <sz val="11"/>
      <color rgb="FFFFFFFF"/>
      <name val="Calibri"/>
      <family val="0"/>
      <charset val="1"/>
    </font>
    <font>
      <i val="true"/>
      <sz val="10"/>
      <color rgb="FF2C4B6E"/>
      <name val="Arial"/>
      <family val="0"/>
      <charset val="1"/>
    </font>
    <font>
      <b val="true"/>
      <sz val="15"/>
      <color rgb="FF2C4B6E"/>
      <name val="Arial"/>
      <family val="0"/>
      <charset val="1"/>
    </font>
    <font>
      <i val="true"/>
      <sz val="10"/>
      <color rgb="FF5A6B7B"/>
      <name val="Arial"/>
      <family val="0"/>
      <charset val="1"/>
    </font>
    <font>
      <b val="true"/>
      <sz val="11"/>
      <color rgb="FF3D6693"/>
      <name val="Arial"/>
      <family val="0"/>
      <charset val="1"/>
    </font>
    <font>
      <sz val="10"/>
      <name val="Arial"/>
      <family val="0"/>
      <charset val="1"/>
    </font>
    <font>
      <b val="true"/>
      <sz val="10"/>
      <color rgb="FFFFFFFF"/>
      <name val="Arial"/>
      <family val="0"/>
      <charset val="1"/>
    </font>
    <font>
      <b val="true"/>
      <sz val="10"/>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9"/>
      <color rgb="FF5A6B7B"/>
      <name val="Arial"/>
      <family val="0"/>
      <charset val="1"/>
    </font>
  </fonts>
  <fills count="7">
    <fill>
      <patternFill patternType="none"/>
    </fill>
    <fill>
      <patternFill patternType="gray125"/>
    </fill>
    <fill>
      <patternFill patternType="solid">
        <fgColor rgb="FF0D3265"/>
        <bgColor rgb="FF2C4B6E"/>
      </patternFill>
    </fill>
    <fill>
      <patternFill patternType="solid">
        <fgColor rgb="FFEAF4FB"/>
        <bgColor rgb="FFEAF1FB"/>
      </patternFill>
    </fill>
    <fill>
      <patternFill patternType="solid">
        <fgColor rgb="FF2C4B6E"/>
        <bgColor rgb="FF156082"/>
      </patternFill>
    </fill>
    <fill>
      <patternFill patternType="solid">
        <fgColor rgb="FFEAF1FB"/>
        <bgColor rgb="FFEAF4FB"/>
      </patternFill>
    </fill>
    <fill>
      <patternFill patternType="solid">
        <fgColor rgb="FFFBEAEA"/>
        <bgColor rgb="FFFFF3CD"/>
      </patternFill>
    </fill>
  </fills>
  <borders count="2">
    <border diagonalUp="false" diagonalDown="false">
      <left/>
      <right/>
      <top/>
      <bottom/>
      <diagonal/>
    </border>
    <border diagonalUp="false" diagonalDown="false">
      <left style="thin">
        <color rgb="FFB9C4CE"/>
      </left>
      <right style="thin">
        <color rgb="FFB9C4CE"/>
      </right>
      <top style="thin">
        <color rgb="FFB9C4CE"/>
      </top>
      <bottom style="thin">
        <color rgb="FFB9C4CE"/>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false" applyBorder="tru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top" textRotation="0" wrapText="false" indent="0" shrinkToFit="false"/>
      <protection locked="true" hidden="false"/>
    </xf>
    <xf numFmtId="164" fontId="4" fillId="0" borderId="0" xfId="20" applyFont="false" applyBorder="true" applyAlignment="true" applyProtection="false">
      <alignment horizontal="general" vertical="top" textRotation="0" wrapText="false" indent="0" shrinkToFit="false"/>
      <protection locked="true" hidden="false"/>
    </xf>
    <xf numFmtId="164" fontId="6" fillId="3" borderId="0" xfId="20" applyFont="true" applyBorder="true" applyAlignment="true" applyProtection="false">
      <alignment horizontal="general" vertical="top" textRotation="0" wrapText="fals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4" fontId="6" fillId="0" borderId="0" xfId="20" applyFont="true" applyBorder="true" applyAlignment="true" applyProtection="false">
      <alignment horizontal="general" vertical="top" textRotation="0" wrapText="false" indent="0" shrinkToFit="false"/>
      <protection locked="true" hidden="false"/>
    </xf>
    <xf numFmtId="164" fontId="7" fillId="2" borderId="0" xfId="20" applyFont="true" applyBorder="true" applyAlignment="true" applyProtection="false">
      <alignment horizontal="center" vertical="center" textRotation="0" wrapText="false" indent="0" shrinkToFit="false"/>
      <protection locked="true" hidden="false"/>
    </xf>
    <xf numFmtId="165" fontId="4" fillId="0" borderId="0" xfId="20" applyFont="fals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6" fontId="4" fillId="0" borderId="0" xfId="20" applyFont="false" applyBorder="true" applyAlignment="false" applyProtection="false">
      <alignment horizontal="general" vertical="bottom" textRotation="0" wrapText="false" indent="0" shrinkToFit="false"/>
      <protection locked="true" hidden="false"/>
    </xf>
    <xf numFmtId="164" fontId="7" fillId="2" borderId="0" xfId="20" applyFont="true" applyBorder="true" applyAlignment="true" applyProtection="false">
      <alignment horizontal="center" vertical="center"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0" borderId="0" xfId="20" applyFont="true" applyBorder="true" applyAlignment="true" applyProtection="false">
      <alignment horizontal="general" vertical="bottom" textRotation="0" wrapText="true" indent="0" shrinkToFit="false"/>
      <protection locked="true" hidden="false"/>
    </xf>
    <xf numFmtId="164" fontId="8" fillId="0" borderId="0" xfId="20" applyFont="true" applyBorder="true" applyAlignment="true" applyProtection="false">
      <alignment horizontal="general" vertical="top" textRotation="0" wrapText="true" indent="0" shrinkToFit="false"/>
      <protection locked="true" hidden="false"/>
    </xf>
    <xf numFmtId="164" fontId="9" fillId="0" borderId="0" xfId="20" applyFont="true" applyBorder="true" applyAlignment="false" applyProtection="false">
      <alignment horizontal="general" vertical="bottom" textRotation="0" wrapText="false" indent="0" shrinkToFit="false"/>
      <protection locked="true" hidden="false"/>
    </xf>
    <xf numFmtId="164" fontId="10" fillId="0" borderId="0" xfId="20" applyFont="true" applyBorder="true" applyAlignment="false" applyProtection="false">
      <alignment horizontal="general" vertical="bottom" textRotation="0" wrapText="false" indent="0" shrinkToFit="false"/>
      <protection locked="true" hidden="false"/>
    </xf>
    <xf numFmtId="164" fontId="11" fillId="0" borderId="0" xfId="20" applyFont="true" applyBorder="true" applyAlignment="false" applyProtection="false">
      <alignment horizontal="general" vertical="bottom" textRotation="0" wrapText="false" indent="0" shrinkToFit="false"/>
      <protection locked="true" hidden="false"/>
    </xf>
    <xf numFmtId="164" fontId="12" fillId="0" borderId="1" xfId="20" applyFont="true" applyBorder="true" applyAlignment="true" applyProtection="false">
      <alignment horizontal="left" vertical="center" textRotation="0" wrapText="true" indent="0" shrinkToFit="false"/>
      <protection locked="true" hidden="false"/>
    </xf>
    <xf numFmtId="167" fontId="12" fillId="0" borderId="1" xfId="20" applyFont="true" applyBorder="true" applyAlignment="true" applyProtection="false">
      <alignment horizontal="center" vertical="center" textRotation="0" wrapText="true" indent="0" shrinkToFit="false"/>
      <protection locked="true" hidden="false"/>
    </xf>
    <xf numFmtId="164" fontId="13" fillId="4" borderId="1" xfId="20" applyFont="true" applyBorder="true" applyAlignment="true" applyProtection="false">
      <alignment horizontal="center" vertical="center" textRotation="0" wrapText="true" indent="0" shrinkToFit="false"/>
      <protection locked="true" hidden="false"/>
    </xf>
    <xf numFmtId="168" fontId="12" fillId="0" borderId="1" xfId="20" applyFont="true" applyBorder="true" applyAlignment="true" applyProtection="false">
      <alignment horizontal="center" vertical="center" textRotation="0" wrapText="true" indent="0" shrinkToFit="false"/>
      <protection locked="true" hidden="false"/>
    </xf>
    <xf numFmtId="164" fontId="12" fillId="5" borderId="1" xfId="20" applyFont="true" applyBorder="true" applyAlignment="true" applyProtection="false">
      <alignment horizontal="left" vertical="center" textRotation="0" wrapText="true" indent="0" shrinkToFit="false"/>
      <protection locked="true" hidden="false"/>
    </xf>
    <xf numFmtId="167" fontId="12" fillId="5" borderId="1" xfId="20" applyFont="true" applyBorder="true" applyAlignment="true" applyProtection="false">
      <alignment horizontal="center" vertical="center" textRotation="0" wrapText="true" indent="0" shrinkToFit="false"/>
      <protection locked="true" hidden="false"/>
    </xf>
    <xf numFmtId="168" fontId="12" fillId="5" borderId="1" xfId="20" applyFont="true" applyBorder="true" applyAlignment="true" applyProtection="false">
      <alignment horizontal="center" vertical="center" textRotation="0" wrapText="true" indent="0" shrinkToFit="false"/>
      <protection locked="true" hidden="false"/>
    </xf>
    <xf numFmtId="169" fontId="12" fillId="0" borderId="1" xfId="20" applyFont="true" applyBorder="true" applyAlignment="true" applyProtection="false">
      <alignment horizontal="center" vertical="center" textRotation="0" wrapText="true" indent="0" shrinkToFit="false"/>
      <protection locked="true" hidden="false"/>
    </xf>
    <xf numFmtId="169" fontId="12" fillId="5" borderId="1" xfId="20" applyFont="true" applyBorder="true" applyAlignment="true" applyProtection="false">
      <alignment horizontal="center" vertical="center" textRotation="0" wrapText="true" indent="0" shrinkToFit="false"/>
      <protection locked="true" hidden="false"/>
    </xf>
    <xf numFmtId="166" fontId="12" fillId="0" borderId="1" xfId="20" applyFont="true" applyBorder="true" applyAlignment="true" applyProtection="false">
      <alignment horizontal="center" vertical="center" textRotation="0" wrapText="true" indent="0" shrinkToFit="false"/>
      <protection locked="true" hidden="false"/>
    </xf>
    <xf numFmtId="166" fontId="12" fillId="5" borderId="1" xfId="20" applyFont="true" applyBorder="true" applyAlignment="true" applyProtection="false">
      <alignment horizontal="center" vertical="center" textRotation="0" wrapText="true" indent="0" shrinkToFit="false"/>
      <protection locked="true" hidden="false"/>
    </xf>
    <xf numFmtId="164" fontId="14" fillId="0" borderId="1" xfId="20" applyFont="true" applyBorder="true" applyAlignment="true" applyProtection="false">
      <alignment horizontal="left" vertical="center" textRotation="0" wrapText="true" indent="0" shrinkToFit="false"/>
      <protection locked="true" hidden="false"/>
    </xf>
    <xf numFmtId="168" fontId="14" fillId="6" borderId="1" xfId="20" applyFont="true" applyBorder="true" applyAlignment="true" applyProtection="false">
      <alignment horizontal="center" vertical="center" textRotation="0" wrapText="true" indent="0" shrinkToFit="false"/>
      <protection locked="true" hidden="false"/>
    </xf>
    <xf numFmtId="164" fontId="18" fillId="0" borderId="0" xfId="20" applyFont="true" applyBorder="true" applyAlignment="true" applyProtection="false">
      <alignment horizontal="general" vertical="top" textRotation="0" wrapText="true" indent="0" shrinkToFit="false"/>
      <protection locked="true" hidden="false"/>
    </xf>
    <xf numFmtId="164" fontId="12" fillId="0" borderId="1" xfId="20" applyFont="true" applyBorder="true" applyAlignment="true" applyProtection="false">
      <alignment horizontal="center" vertical="top" textRotation="0" wrapText="true" indent="0" shrinkToFit="false"/>
      <protection locked="true" hidden="false"/>
    </xf>
    <xf numFmtId="164" fontId="12" fillId="0" borderId="1" xfId="20" applyFont="true" applyBorder="true" applyAlignment="true" applyProtection="false">
      <alignment horizontal="left" vertical="top" textRotation="0" wrapText="true" indent="0" shrinkToFit="false"/>
      <protection locked="true" hidden="false"/>
    </xf>
    <xf numFmtId="164" fontId="12" fillId="5" borderId="1" xfId="20" applyFont="true" applyBorder="true" applyAlignment="true" applyProtection="false">
      <alignment horizontal="center" vertical="top" textRotation="0" wrapText="true" indent="0" shrinkToFit="false"/>
      <protection locked="true" hidden="false"/>
    </xf>
    <xf numFmtId="164" fontId="12" fillId="5" borderId="1" xfId="20" applyFont="true" applyBorder="true" applyAlignment="true" applyProtection="false">
      <alignment horizontal="left"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7">
    <dxf>
      <fill>
        <patternFill patternType="solid">
          <fgColor rgb="FF0D3265"/>
          <bgColor rgb="FF000000"/>
        </patternFill>
      </fill>
    </dxf>
    <dxf>
      <fill>
        <patternFill patternType="solid">
          <bgColor rgb="FF000000"/>
        </patternFill>
      </fill>
    </dxf>
    <dxf>
      <fill>
        <patternFill patternType="solid">
          <fgColor rgb="FFFFFFFF"/>
          <bgColor rgb="FF000000"/>
        </patternFill>
      </fill>
    </dxf>
    <dxf>
      <fill>
        <patternFill patternType="solid">
          <fgColor rgb="FFF8D7DA"/>
          <bgColor rgb="FF000000"/>
        </patternFill>
      </fill>
    </dxf>
    <dxf>
      <fill>
        <patternFill patternType="solid">
          <fgColor rgb="FFFFF3CD"/>
          <bgColor rgb="FF000000"/>
        </patternFill>
      </fill>
    </dxf>
    <dxf>
      <font>
        <b val="1"/>
      </font>
      <fill>
        <patternFill>
          <bgColor rgb="FFF8D7DA"/>
        </patternFill>
      </fill>
    </dxf>
    <dxf>
      <fill>
        <patternFill>
          <bgColor rgb="FFFFF3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B9C4CE"/>
      <rgbColor rgb="FF8B8B8B"/>
      <rgbColor rgb="FF9999FF"/>
      <rgbColor rgb="FF993366"/>
      <rgbColor rgb="FFFFF3CD"/>
      <rgbColor rgb="FFEAF4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1FB"/>
      <rgbColor rgb="FFCCFFCC"/>
      <rgbColor rgb="FFFBEAEA"/>
      <rgbColor rgb="FF99CCFF"/>
      <rgbColor rgb="FFFF99CC"/>
      <rgbColor rgb="FFCC99FF"/>
      <rgbColor rgb="FFF8D7DA"/>
      <rgbColor rgb="FF3D6693"/>
      <rgbColor rgb="FF33CCCC"/>
      <rgbColor rgb="FF99CC00"/>
      <rgbColor rgb="FFFFCC00"/>
      <rgbColor rgb="FFFF9900"/>
      <rgbColor rgb="FFFF6600"/>
      <rgbColor rgb="FF5A6B7B"/>
      <rgbColor rgb="FF969696"/>
      <rgbColor rgb="FF0D3265"/>
      <rgbColor rgb="FF339966"/>
      <rgbColor rgb="FF003300"/>
      <rgbColor rgb="FF333300"/>
      <rgbColor rgb="FF993300"/>
      <rgbColor rgb="FF993366"/>
      <rgbColor rgb="FF2C4B6E"/>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Incidents by Type</a:t>
            </a:r>
          </a:p>
        </c:rich>
      </c:tx>
      <c:overlay val="0"/>
      <c:spPr>
        <a:noFill/>
        <a:ln w="0">
          <a:noFill/>
        </a:ln>
      </c:spPr>
    </c:title>
    <c:autoTitleDeleted val="0"/>
    <c:plotArea>
      <c:barChart>
        <c:barDir val="col"/>
        <c:grouping val="clustered"/>
        <c:varyColors val="0"/>
        <c:ser>
          <c:idx val="0"/>
          <c:order val="0"/>
          <c:tx>
            <c:strRef>
              <c:f>Core_Analysis!B8</c:f>
              <c:strCache>
                <c:ptCount val="1"/>
                <c:pt idx="0">
                  <c:v>Count</c:v>
                </c:pt>
              </c:strCache>
            </c:strRef>
          </c:tx>
          <c:spPr>
            <a:solidFill>
              <a:srgbClr val="15608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Core_Analysis!$A$9:$A$20</c:f>
              <c:strCache>
                <c:ptCount val="12"/>
                <c:pt idx="0">
                  <c:v>Malware</c:v>
                </c:pt>
                <c:pt idx="1">
                  <c:v>Phishing</c:v>
                </c:pt>
                <c:pt idx="2">
                  <c:v>Data Leak</c:v>
                </c:pt>
                <c:pt idx="3">
                  <c:v>Unauthorized Access</c:v>
                </c:pt>
                <c:pt idx="4">
                  <c:v>Misconfiguration</c:v>
                </c:pt>
                <c:pt idx="5">
                  <c:v>DDoS</c:v>
                </c:pt>
                <c:pt idx="6">
                  <c:v>Cloud Exposure</c:v>
                </c:pt>
                <c:pt idx="7">
                  <c:v>Credential Theft</c:v>
                </c:pt>
                <c:pt idx="8">
                  <c:v>Third-Party Breach</c:v>
                </c:pt>
                <c:pt idx="9">
                  <c:v>Insider Threat</c:v>
                </c:pt>
                <c:pt idx="10">
                  <c:v>Lost Device</c:v>
                </c:pt>
                <c:pt idx="11">
                  <c:v>Policy Violation</c:v>
                </c:pt>
              </c:strCache>
            </c:strRef>
          </c:cat>
          <c:val>
            <c:numRef>
              <c:f>Core_Analysis!$B$9:$B$20</c:f>
              <c:numCache>
                <c:formatCode>General</c:formatCode>
                <c:ptCount val="12"/>
                <c:pt idx="0">
                  <c:v>28</c:v>
                </c:pt>
                <c:pt idx="1">
                  <c:v>28</c:v>
                </c:pt>
                <c:pt idx="2">
                  <c:v>27</c:v>
                </c:pt>
                <c:pt idx="3">
                  <c:v>24</c:v>
                </c:pt>
                <c:pt idx="4">
                  <c:v>19</c:v>
                </c:pt>
                <c:pt idx="5">
                  <c:v>19</c:v>
                </c:pt>
                <c:pt idx="6">
                  <c:v>11</c:v>
                </c:pt>
                <c:pt idx="7">
                  <c:v>9</c:v>
                </c:pt>
                <c:pt idx="8">
                  <c:v>6</c:v>
                </c:pt>
                <c:pt idx="9">
                  <c:v>5</c:v>
                </c:pt>
                <c:pt idx="10">
                  <c:v>3</c:v>
                </c:pt>
                <c:pt idx="11">
                  <c:v>1</c:v>
                </c:pt>
              </c:numCache>
            </c:numRef>
          </c:val>
        </c:ser>
        <c:gapWidth val="150"/>
        <c:overlap val="0"/>
        <c:axId val="90771133"/>
        <c:axId val="43526533"/>
      </c:barChart>
      <c:catAx>
        <c:axId val="90771133"/>
        <c:scaling>
          <c:orientation val="minMax"/>
        </c:scaling>
        <c:delete val="0"/>
        <c:axPos val="b"/>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Incident Type</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3526533"/>
        <c:crosses val="autoZero"/>
        <c:auto val="1"/>
        <c:lblAlgn val="ctr"/>
        <c:lblOffset val="100"/>
        <c:noMultiLvlLbl val="0"/>
      </c:catAx>
      <c:valAx>
        <c:axId val="43526533"/>
        <c:scaling>
          <c:orientation val="minMax"/>
        </c:scaling>
        <c:delete val="0"/>
        <c:axPos val="l"/>
        <c:majorGridlines>
          <c:spPr>
            <a:ln w="1260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Number of Incidents</a:t>
                </a:r>
              </a:p>
            </c:rich>
          </c:tx>
          <c:overlay val="0"/>
          <c:spPr>
            <a:noFill/>
            <a:ln w="0">
              <a:noFill/>
            </a:ln>
          </c:spPr>
        </c:title>
        <c:numFmt formatCode="General"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077113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Total Cost Impact (USD) by Department</a:t>
            </a:r>
          </a:p>
        </c:rich>
      </c:tx>
      <c:overlay val="0"/>
      <c:spPr>
        <a:noFill/>
        <a:ln w="0">
          <a:noFill/>
        </a:ln>
      </c:spPr>
    </c:title>
    <c:autoTitleDeleted val="0"/>
    <c:plotArea>
      <c:barChart>
        <c:barDir val="col"/>
        <c:grouping val="clustered"/>
        <c:varyColors val="0"/>
        <c:ser>
          <c:idx val="0"/>
          <c:order val="0"/>
          <c:tx>
            <c:strRef>
              <c:f>Core_Analysis!B51</c:f>
              <c:strCache>
                <c:ptCount val="1"/>
                <c:pt idx="0">
                  <c:v>Total Cost Impact (USD)</c:v>
                </c:pt>
              </c:strCache>
            </c:strRef>
          </c:tx>
          <c:spPr>
            <a:solidFill>
              <a:srgbClr val="15608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Core_Analysis!$A$52:$A$60</c:f>
              <c:strCache>
                <c:ptCount val="9"/>
                <c:pt idx="0">
                  <c:v>Finance</c:v>
                </c:pt>
                <c:pt idx="1">
                  <c:v>IT</c:v>
                </c:pt>
                <c:pt idx="2">
                  <c:v>Operations</c:v>
                </c:pt>
                <c:pt idx="3">
                  <c:v>HR</c:v>
                </c:pt>
                <c:pt idx="4">
                  <c:v>Legal</c:v>
                </c:pt>
                <c:pt idx="5">
                  <c:v>Cloud Operations</c:v>
                </c:pt>
                <c:pt idx="6">
                  <c:v>Student Services</c:v>
                </c:pt>
                <c:pt idx="7">
                  <c:v>Academic Services</c:v>
                </c:pt>
                <c:pt idx="8">
                  <c:v>Research</c:v>
                </c:pt>
              </c:strCache>
            </c:strRef>
          </c:cat>
          <c:val>
            <c:numRef>
              <c:f>Core_Analysis!$B$52:$B$60</c:f>
              <c:numCache>
                <c:formatCode>\$#,##0</c:formatCode>
                <c:ptCount val="9"/>
                <c:pt idx="0">
                  <c:v>1756282</c:v>
                </c:pt>
                <c:pt idx="1">
                  <c:v>1725965</c:v>
                </c:pt>
                <c:pt idx="2">
                  <c:v>1682059</c:v>
                </c:pt>
                <c:pt idx="3">
                  <c:v>1493242</c:v>
                </c:pt>
                <c:pt idx="4">
                  <c:v>1403244</c:v>
                </c:pt>
                <c:pt idx="5">
                  <c:v>663410</c:v>
                </c:pt>
                <c:pt idx="6">
                  <c:v>643730</c:v>
                </c:pt>
                <c:pt idx="7">
                  <c:v>617870</c:v>
                </c:pt>
                <c:pt idx="8">
                  <c:v>307620</c:v>
                </c:pt>
              </c:numCache>
            </c:numRef>
          </c:val>
        </c:ser>
        <c:gapWidth val="150"/>
        <c:overlap val="0"/>
        <c:axId val="95470375"/>
        <c:axId val="89445434"/>
      </c:barChart>
      <c:catAx>
        <c:axId val="95470375"/>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9445434"/>
        <c:crosses val="autoZero"/>
        <c:auto val="1"/>
        <c:lblAlgn val="ctr"/>
        <c:lblOffset val="100"/>
        <c:noMultiLvlLbl val="0"/>
      </c:catAx>
      <c:valAx>
        <c:axId val="89445434"/>
        <c:scaling>
          <c:orientation val="minMax"/>
        </c:scaling>
        <c:delete val="0"/>
        <c:axPos val="l"/>
        <c:majorGridlines>
          <c:spPr>
            <a:ln w="1260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Cost Impact (USD)</a:t>
                </a:r>
              </a:p>
            </c:rich>
          </c:tx>
          <c:overlay val="0"/>
          <c:spPr>
            <a:noFill/>
            <a:ln w="0">
              <a:noFill/>
            </a:ln>
          </c:spPr>
        </c:title>
        <c:numFmt formatCode="\$#,##0"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547037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SLA Breach Rate by Severity</a:t>
            </a:r>
          </a:p>
        </c:rich>
      </c:tx>
      <c:overlay val="0"/>
      <c:spPr>
        <a:noFill/>
        <a:ln w="0">
          <a:noFill/>
        </a:ln>
      </c:spPr>
    </c:title>
    <c:autoTitleDeleted val="0"/>
    <c:plotArea>
      <c:barChart>
        <c:barDir val="col"/>
        <c:grouping val="clustered"/>
        <c:varyColors val="0"/>
        <c:ser>
          <c:idx val="0"/>
          <c:order val="0"/>
          <c:tx>
            <c:strRef>
              <c:f>Advanced_Analysis!E5</c:f>
              <c:strCache>
                <c:ptCount val="1"/>
                <c:pt idx="0">
                  <c:v>Breach Rate %</c:v>
                </c:pt>
              </c:strCache>
            </c:strRef>
          </c:tx>
          <c:spPr>
            <a:solidFill>
              <a:srgbClr val="15608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Advanced_Analysis!$A$6:$A$9</c:f>
              <c:strCache>
                <c:ptCount val="4"/>
                <c:pt idx="0">
                  <c:v>Critical</c:v>
                </c:pt>
                <c:pt idx="1">
                  <c:v>High</c:v>
                </c:pt>
                <c:pt idx="2">
                  <c:v>Medium</c:v>
                </c:pt>
                <c:pt idx="3">
                  <c:v>Low</c:v>
                </c:pt>
              </c:strCache>
            </c:strRef>
          </c:cat>
          <c:val>
            <c:numRef>
              <c:f>Advanced_Analysis!$E$6:$E$9</c:f>
              <c:numCache>
                <c:formatCode>0.0%</c:formatCode>
                <c:ptCount val="4"/>
                <c:pt idx="0">
                  <c:v>0.705882352941177</c:v>
                </c:pt>
                <c:pt idx="1">
                  <c:v>0.735294117647059</c:v>
                </c:pt>
                <c:pt idx="2">
                  <c:v>0.346938775510204</c:v>
                </c:pt>
                <c:pt idx="3">
                  <c:v>0</c:v>
                </c:pt>
              </c:numCache>
            </c:numRef>
          </c:val>
        </c:ser>
        <c:gapWidth val="150"/>
        <c:overlap val="0"/>
        <c:axId val="43494381"/>
        <c:axId val="87335535"/>
      </c:barChart>
      <c:catAx>
        <c:axId val="43494381"/>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7335535"/>
        <c:crosses val="autoZero"/>
        <c:auto val="1"/>
        <c:lblAlgn val="ctr"/>
        <c:lblOffset val="100"/>
        <c:noMultiLvlLbl val="0"/>
      </c:catAx>
      <c:valAx>
        <c:axId val="87335535"/>
        <c:scaling>
          <c:orientation val="minMax"/>
        </c:scaling>
        <c:delete val="0"/>
        <c:axPos val="l"/>
        <c:majorGridlines>
          <c:spPr>
            <a:ln w="1260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Breach Rate</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349438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SLA Breach Rate by Responsible Team</a:t>
            </a:r>
          </a:p>
        </c:rich>
      </c:tx>
      <c:overlay val="0"/>
      <c:spPr>
        <a:noFill/>
        <a:ln w="0">
          <a:noFill/>
        </a:ln>
      </c:spPr>
    </c:title>
    <c:autoTitleDeleted val="0"/>
    <c:plotArea>
      <c:barChart>
        <c:barDir val="col"/>
        <c:grouping val="clustered"/>
        <c:varyColors val="0"/>
        <c:ser>
          <c:idx val="0"/>
          <c:order val="0"/>
          <c:tx>
            <c:strRef>
              <c:f>Advanced_Analysis!E12</c:f>
              <c:strCache>
                <c:ptCount val="1"/>
                <c:pt idx="0">
                  <c:v>Breach Rate %</c:v>
                </c:pt>
              </c:strCache>
            </c:strRef>
          </c:tx>
          <c:spPr>
            <a:solidFill>
              <a:srgbClr val="15608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Advanced_Analysis!$A$13:$A$20</c:f>
              <c:strCache>
                <c:ptCount val="8"/>
                <c:pt idx="0">
                  <c:v>Compliance</c:v>
                </c:pt>
                <c:pt idx="1">
                  <c:v>DevOps</c:v>
                </c:pt>
                <c:pt idx="2">
                  <c:v>IT Security</c:v>
                </c:pt>
                <c:pt idx="3">
                  <c:v>SOC</c:v>
                </c:pt>
                <c:pt idx="4">
                  <c:v>GRC</c:v>
                </c:pt>
                <c:pt idx="5">
                  <c:v>Incident Response</c:v>
                </c:pt>
                <c:pt idx="6">
                  <c:v>IAM</c:v>
                </c:pt>
                <c:pt idx="7">
                  <c:v>Cloud Security</c:v>
                </c:pt>
              </c:strCache>
            </c:strRef>
          </c:cat>
          <c:val>
            <c:numRef>
              <c:f>Advanced_Analysis!$E$13:$E$20</c:f>
              <c:numCache>
                <c:formatCode>0.0%</c:formatCode>
                <c:ptCount val="8"/>
                <c:pt idx="0">
                  <c:v>0.363636363636364</c:v>
                </c:pt>
                <c:pt idx="1">
                  <c:v>0.52</c:v>
                </c:pt>
                <c:pt idx="2">
                  <c:v>0.625</c:v>
                </c:pt>
                <c:pt idx="3">
                  <c:v>0.458333333333333</c:v>
                </c:pt>
                <c:pt idx="4">
                  <c:v>0.444444444444444</c:v>
                </c:pt>
                <c:pt idx="5">
                  <c:v>0.1</c:v>
                </c:pt>
                <c:pt idx="6">
                  <c:v>1</c:v>
                </c:pt>
                <c:pt idx="7">
                  <c:v>0.5</c:v>
                </c:pt>
              </c:numCache>
            </c:numRef>
          </c:val>
        </c:ser>
        <c:gapWidth val="150"/>
        <c:overlap val="0"/>
        <c:axId val="28657509"/>
        <c:axId val="15257469"/>
      </c:barChart>
      <c:catAx>
        <c:axId val="28657509"/>
        <c:scaling>
          <c:orientation val="minMax"/>
        </c:scaling>
        <c:delete val="0"/>
        <c:axPos val="b"/>
        <c:numFmt formatCode="General"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15257469"/>
        <c:crosses val="autoZero"/>
        <c:auto val="1"/>
        <c:lblAlgn val="ctr"/>
        <c:lblOffset val="100"/>
        <c:noMultiLvlLbl val="0"/>
      </c:catAx>
      <c:valAx>
        <c:axId val="15257469"/>
        <c:scaling>
          <c:orientation val="minMax"/>
        </c:scaling>
        <c:delete val="0"/>
        <c:axPos val="l"/>
        <c:majorGridlines>
          <c:spPr>
            <a:ln w="1260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Breach Rate</a:t>
                </a:r>
              </a:p>
            </c:rich>
          </c:tx>
          <c:overlay val="0"/>
          <c:spPr>
            <a:noFill/>
            <a:ln w="0">
              <a:noFill/>
            </a:ln>
          </c:spPr>
        </c:title>
        <c:numFmt formatCode="0%"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2865750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145440</xdr:rowOff>
    </xdr:from>
    <xdr:to>
      <xdr:col>13</xdr:col>
      <xdr:colOff>256320</xdr:colOff>
      <xdr:row>17</xdr:row>
      <xdr:rowOff>55440</xdr:rowOff>
    </xdr:to>
    <xdr:graphicFrame>
      <xdr:nvGraphicFramePr>
        <xdr:cNvPr id="0" name="Chart 1"/>
        <xdr:cNvGraphicFramePr/>
      </xdr:nvGraphicFramePr>
      <xdr:xfrm>
        <a:off x="4863600" y="571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49</xdr:row>
      <xdr:rowOff>32760</xdr:rowOff>
    </xdr:from>
    <xdr:to>
      <xdr:col>13</xdr:col>
      <xdr:colOff>256320</xdr:colOff>
      <xdr:row>64</xdr:row>
      <xdr:rowOff>55080</xdr:rowOff>
    </xdr:to>
    <xdr:graphicFrame>
      <xdr:nvGraphicFramePr>
        <xdr:cNvPr id="1" name="Chart 2"/>
        <xdr:cNvGraphicFramePr/>
      </xdr:nvGraphicFramePr>
      <xdr:xfrm>
        <a:off x="4863600" y="952488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145440</xdr:rowOff>
    </xdr:from>
    <xdr:to>
      <xdr:col>15</xdr:col>
      <xdr:colOff>296280</xdr:colOff>
      <xdr:row>16</xdr:row>
      <xdr:rowOff>133560</xdr:rowOff>
    </xdr:to>
    <xdr:graphicFrame>
      <xdr:nvGraphicFramePr>
        <xdr:cNvPr id="2" name="Chart 1"/>
        <xdr:cNvGraphicFramePr/>
      </xdr:nvGraphicFramePr>
      <xdr:xfrm>
        <a:off x="8176320" y="57168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10</xdr:row>
      <xdr:rowOff>33120</xdr:rowOff>
    </xdr:from>
    <xdr:to>
      <xdr:col>15</xdr:col>
      <xdr:colOff>296280</xdr:colOff>
      <xdr:row>22</xdr:row>
      <xdr:rowOff>514440</xdr:rowOff>
    </xdr:to>
    <xdr:graphicFrame>
      <xdr:nvGraphicFramePr>
        <xdr:cNvPr id="3" name="Chart 2"/>
        <xdr:cNvGraphicFramePr/>
      </xdr:nvGraphicFramePr>
      <xdr:xfrm>
        <a:off x="8176320" y="2095560"/>
        <a:ext cx="53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DataDictionaryTable" displayName="DataDictionaryTable" ref="A1:C17" headerRowCount="1" totalsRowCount="0" totalsRowShown="0">
  <tableColumns count="3">
    <tableColumn id="1" name="Field"/>
    <tableColumn id="2" name="Description"/>
    <tableColumn id="3" name="Example / Values"/>
  </tableColumns>
</table>
</file>

<file path=xl/tables/table2.xml><?xml version="1.0" encoding="utf-8"?>
<table xmlns="http://schemas.openxmlformats.org/spreadsheetml/2006/main" id="2" name="IncidentDataTable" displayName="IncidentDataTable" ref="A1:P181" headerRowCount="1" totalsRowCount="0" totalsRowShown="0">
  <tableColumns count="16">
    <tableColumn id="1" name="Incident_ID"/>
    <tableColumn id="2" name="Date"/>
    <tableColumn id="3" name="Incident_Type"/>
    <tableColumn id="4" name="Severity"/>
    <tableColumn id="5" name="Status"/>
    <tableColumn id="6" name="Department"/>
    <tableColumn id="7" name="Responsible_Team"/>
    <tableColumn id="8" name="Resolution_Time_Days"/>
    <tableColumn id="9" name="Cost_Impact_USD"/>
    <tableColumn id="10" name="Root_Cause"/>
    <tableColumn id="11" name="Control_Domain"/>
    <tableColumn id="12" name="Regulatory_Exposure"/>
    <tableColumn id="13" name="Escalation_Level"/>
    <tableColumn id="14" name="Third_Party_Involved"/>
    <tableColumn id="15" name="SLA_Target_Days"/>
    <tableColumn id="16" name="SLA_Breached"/>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24"/>
    <col collapsed="false" customWidth="true" hidden="false" outlineLevel="0" max="6" min="3" style="1" width="18"/>
  </cols>
  <sheetData>
    <row r="1" customFormat="false" ht="27.75" hidden="false" customHeight="true" outlineLevel="0" collapsed="false">
      <c r="A1" s="2" t="s">
        <v>0</v>
      </c>
      <c r="B1" s="2"/>
      <c r="C1" s="2"/>
      <c r="D1" s="2"/>
      <c r="E1" s="2"/>
      <c r="F1" s="2"/>
    </row>
    <row r="2" customFormat="false" ht="15" hidden="false" customHeight="false" outlineLevel="0" collapsed="false">
      <c r="A2" s="3"/>
      <c r="B2" s="3"/>
      <c r="C2" s="3"/>
      <c r="D2" s="3"/>
      <c r="E2" s="3"/>
      <c r="F2" s="3"/>
    </row>
    <row r="3" customFormat="false" ht="15" hidden="false" customHeight="false" outlineLevel="0" collapsed="false">
      <c r="A3" s="4" t="s">
        <v>1</v>
      </c>
      <c r="B3" s="4"/>
      <c r="C3" s="4"/>
      <c r="D3" s="4"/>
      <c r="E3" s="4"/>
      <c r="F3" s="4"/>
    </row>
    <row r="4" customFormat="false" ht="15" hidden="false" customHeight="true" outlineLevel="0" collapsed="false">
      <c r="A4" s="5" t="s">
        <v>2</v>
      </c>
      <c r="B4" s="5"/>
      <c r="C4" s="5"/>
      <c r="D4" s="5"/>
      <c r="E4" s="5"/>
      <c r="F4" s="5"/>
    </row>
    <row r="5" customFormat="false" ht="15" hidden="false" customHeight="false" outlineLevel="0" collapsed="false">
      <c r="A5" s="5"/>
      <c r="B5" s="5"/>
      <c r="C5" s="5"/>
      <c r="D5" s="5"/>
      <c r="E5" s="5"/>
      <c r="F5" s="5"/>
    </row>
    <row r="6" customFormat="false" ht="15" hidden="false" customHeight="false" outlineLevel="0" collapsed="false">
      <c r="A6" s="5"/>
      <c r="B6" s="5"/>
      <c r="C6" s="5"/>
      <c r="D6" s="5"/>
      <c r="E6" s="5"/>
      <c r="F6" s="5"/>
    </row>
    <row r="7" customFormat="false" ht="15" hidden="false" customHeight="false" outlineLevel="0" collapsed="false">
      <c r="A7" s="3"/>
      <c r="B7" s="3"/>
      <c r="C7" s="3"/>
      <c r="D7" s="3"/>
      <c r="E7" s="3"/>
      <c r="F7" s="3"/>
    </row>
    <row r="8" customFormat="false" ht="15" hidden="false" customHeight="false" outlineLevel="0" collapsed="false">
      <c r="A8" s="6" t="s">
        <v>3</v>
      </c>
      <c r="B8" s="3" t="s">
        <v>4</v>
      </c>
      <c r="C8" s="3"/>
      <c r="D8" s="3"/>
      <c r="E8" s="3"/>
      <c r="F8" s="3"/>
    </row>
    <row r="9" customFormat="false" ht="15" hidden="false" customHeight="false" outlineLevel="0" collapsed="false">
      <c r="A9" s="6" t="s">
        <v>5</v>
      </c>
      <c r="B9" s="3" t="n">
        <v>180</v>
      </c>
      <c r="C9" s="3"/>
      <c r="D9" s="3"/>
      <c r="E9" s="3"/>
      <c r="F9" s="3"/>
    </row>
    <row r="10" customFormat="false" ht="15" hidden="false" customHeight="false" outlineLevel="0" collapsed="false">
      <c r="A10" s="6" t="s">
        <v>6</v>
      </c>
      <c r="B10" s="3" t="s">
        <v>7</v>
      </c>
      <c r="C10" s="3"/>
      <c r="D10" s="3"/>
      <c r="E10" s="3"/>
      <c r="F10" s="3"/>
    </row>
    <row r="11" customFormat="false" ht="15" hidden="false" customHeight="false" outlineLevel="0" collapsed="false">
      <c r="A11" s="6" t="s">
        <v>8</v>
      </c>
      <c r="B11" s="3" t="n">
        <v>100</v>
      </c>
      <c r="C11" s="3"/>
      <c r="D11" s="3"/>
      <c r="E11" s="3"/>
      <c r="F11" s="3"/>
    </row>
    <row r="12" customFormat="false" ht="15" hidden="false" customHeight="false" outlineLevel="0" collapsed="false">
      <c r="A12" s="6" t="s">
        <v>9</v>
      </c>
      <c r="B12" s="3" t="n">
        <v>80</v>
      </c>
      <c r="C12" s="3"/>
      <c r="D12" s="3"/>
      <c r="E12" s="3"/>
      <c r="F12" s="3"/>
    </row>
    <row r="13" customFormat="false" ht="15" hidden="false" customHeight="false" outlineLevel="0" collapsed="false">
      <c r="A13" s="6" t="s">
        <v>10</v>
      </c>
      <c r="B13" s="3" t="s">
        <v>11</v>
      </c>
      <c r="C13" s="3"/>
      <c r="D13" s="3"/>
      <c r="E13" s="3"/>
      <c r="F13" s="3"/>
    </row>
    <row r="14" customFormat="false" ht="15" hidden="false" customHeight="false" outlineLevel="0" collapsed="false">
      <c r="A14" s="6" t="s">
        <v>12</v>
      </c>
      <c r="B14" s="3" t="s">
        <v>13</v>
      </c>
      <c r="C14" s="3"/>
      <c r="D14" s="3"/>
      <c r="E14" s="3"/>
      <c r="F14" s="3"/>
    </row>
    <row r="15" customFormat="false" ht="15" hidden="false" customHeight="false" outlineLevel="0" collapsed="false">
      <c r="A15" s="3"/>
      <c r="B15" s="3"/>
      <c r="C15" s="3"/>
      <c r="D15" s="3"/>
      <c r="E15" s="3"/>
      <c r="F15" s="3"/>
    </row>
    <row r="16" customFormat="false" ht="15" hidden="false" customHeight="false" outlineLevel="0" collapsed="false">
      <c r="A16" s="4" t="s">
        <v>14</v>
      </c>
      <c r="B16" s="4"/>
      <c r="C16" s="4"/>
      <c r="D16" s="4"/>
      <c r="E16" s="4"/>
      <c r="F16" s="4"/>
    </row>
    <row r="17" customFormat="false" ht="15" hidden="false" customHeight="true" outlineLevel="0" collapsed="false">
      <c r="A17" s="5" t="s">
        <v>15</v>
      </c>
      <c r="B17" s="5"/>
      <c r="C17" s="5"/>
      <c r="D17" s="5"/>
      <c r="E17" s="5"/>
      <c r="F17" s="5"/>
    </row>
    <row r="18" customFormat="false" ht="15" hidden="false" customHeight="false" outlineLevel="0" collapsed="false">
      <c r="A18" s="5"/>
      <c r="B18" s="5"/>
      <c r="C18" s="5"/>
      <c r="D18" s="5"/>
      <c r="E18" s="5"/>
      <c r="F18" s="5"/>
    </row>
    <row r="19" customFormat="false" ht="15" hidden="false" customHeight="false" outlineLevel="0" collapsed="false">
      <c r="A19" s="5"/>
      <c r="B19" s="5"/>
      <c r="C19" s="5"/>
      <c r="D19" s="5"/>
      <c r="E19" s="5"/>
      <c r="F19" s="5"/>
    </row>
  </sheetData>
  <mergeCells count="5">
    <mergeCell ref="A1:F1"/>
    <mergeCell ref="A3:F3"/>
    <mergeCell ref="A4:F6"/>
    <mergeCell ref="A16:F16"/>
    <mergeCell ref="A17:F1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0"/>
    <col collapsed="false" customWidth="true" hidden="false" outlineLevel="0" max="4" min="4" style="1" width="11"/>
    <col collapsed="false" customWidth="true" hidden="false" outlineLevel="0" max="5" min="5" style="1" width="13"/>
    <col collapsed="false" customWidth="true" hidden="false" outlineLevel="0" max="6" min="6" style="1" width="18"/>
    <col collapsed="false" customWidth="true" hidden="false" outlineLevel="0" max="8" min="7" style="1" width="20"/>
    <col collapsed="false" customWidth="true" hidden="false" outlineLevel="0" max="9" min="9" style="1" width="17"/>
    <col collapsed="false" customWidth="true" hidden="false" outlineLevel="0" max="10" min="10" style="1" width="24"/>
    <col collapsed="false" customWidth="true" hidden="false" outlineLevel="0" max="11" min="11" style="1" width="26"/>
    <col collapsed="false" customWidth="true" hidden="false" outlineLevel="0" max="12" min="12" style="1" width="20"/>
    <col collapsed="false" customWidth="true" hidden="false" outlineLevel="0" max="13" min="13" style="1" width="23"/>
    <col collapsed="false" customWidth="true" hidden="false" outlineLevel="0" max="14" min="14" style="1" width="18"/>
    <col collapsed="false" customWidth="true" hidden="false" outlineLevel="0" max="15" min="15" style="1" width="16"/>
    <col collapsed="false" customWidth="true" hidden="false" outlineLevel="0" max="16" min="16" style="1" width="14"/>
  </cols>
  <sheetData>
    <row r="1" customFormat="false" ht="15" hidden="false" customHeight="false" outlineLevel="0" collapsed="false">
      <c r="A1" s="7" t="s">
        <v>16</v>
      </c>
      <c r="B1" s="7" t="s">
        <v>17</v>
      </c>
      <c r="C1" s="7" t="s">
        <v>18</v>
      </c>
      <c r="D1" s="7" t="s">
        <v>19</v>
      </c>
      <c r="E1" s="7" t="s">
        <v>20</v>
      </c>
      <c r="F1" s="7" t="s">
        <v>21</v>
      </c>
      <c r="G1" s="7" t="s">
        <v>22</v>
      </c>
      <c r="H1" s="7" t="s">
        <v>23</v>
      </c>
      <c r="I1" s="7" t="s">
        <v>24</v>
      </c>
      <c r="J1" s="7" t="s">
        <v>25</v>
      </c>
      <c r="K1" s="7" t="s">
        <v>26</v>
      </c>
      <c r="L1" s="7" t="s">
        <v>27</v>
      </c>
      <c r="M1" s="7" t="s">
        <v>28</v>
      </c>
      <c r="N1" s="7" t="s">
        <v>29</v>
      </c>
      <c r="O1" s="7" t="s">
        <v>30</v>
      </c>
      <c r="P1" s="7" t="s">
        <v>31</v>
      </c>
    </row>
    <row r="2" customFormat="false" ht="15" hidden="false" customHeight="false" outlineLevel="0" collapsed="false">
      <c r="A2" s="1" t="s">
        <v>32</v>
      </c>
      <c r="B2" s="8" t="n">
        <v>45428</v>
      </c>
      <c r="C2" s="1" t="s">
        <v>33</v>
      </c>
      <c r="D2" s="9" t="s">
        <v>34</v>
      </c>
      <c r="E2" s="9" t="s">
        <v>35</v>
      </c>
      <c r="F2" s="1" t="s">
        <v>36</v>
      </c>
      <c r="G2" s="1" t="s">
        <v>37</v>
      </c>
      <c r="H2" s="1" t="n">
        <v>16</v>
      </c>
      <c r="I2" s="10" t="n">
        <v>94101</v>
      </c>
      <c r="J2" s="1" t="s">
        <v>38</v>
      </c>
      <c r="K2" s="1" t="s">
        <v>39</v>
      </c>
      <c r="L2" s="1" t="s">
        <v>40</v>
      </c>
      <c r="M2" s="1" t="s">
        <v>41</v>
      </c>
      <c r="N2" s="1" t="s">
        <v>42</v>
      </c>
      <c r="O2" s="1" t="n">
        <v>14</v>
      </c>
      <c r="P2" s="9" t="s">
        <v>43</v>
      </c>
    </row>
    <row r="3" customFormat="false" ht="15" hidden="false" customHeight="false" outlineLevel="0" collapsed="false">
      <c r="A3" s="1" t="s">
        <v>44</v>
      </c>
      <c r="B3" s="8" t="n">
        <v>45432</v>
      </c>
      <c r="C3" s="1" t="s">
        <v>45</v>
      </c>
      <c r="D3" s="9" t="s">
        <v>46</v>
      </c>
      <c r="E3" s="9" t="s">
        <v>47</v>
      </c>
      <c r="F3" s="1" t="s">
        <v>48</v>
      </c>
      <c r="G3" s="1" t="s">
        <v>37</v>
      </c>
      <c r="H3" s="1" t="n">
        <v>17</v>
      </c>
      <c r="I3" s="10" t="n">
        <v>85119</v>
      </c>
      <c r="J3" s="1" t="s">
        <v>49</v>
      </c>
      <c r="K3" s="1" t="s">
        <v>50</v>
      </c>
      <c r="L3" s="1" t="s">
        <v>51</v>
      </c>
      <c r="M3" s="1" t="s">
        <v>52</v>
      </c>
      <c r="N3" s="1" t="s">
        <v>53</v>
      </c>
      <c r="O3" s="1" t="n">
        <v>7</v>
      </c>
      <c r="P3" s="9" t="s">
        <v>43</v>
      </c>
    </row>
    <row r="4" customFormat="false" ht="15" hidden="false" customHeight="false" outlineLevel="0" collapsed="false">
      <c r="A4" s="1" t="s">
        <v>54</v>
      </c>
      <c r="B4" s="8" t="n">
        <v>45653</v>
      </c>
      <c r="C4" s="1" t="s">
        <v>33</v>
      </c>
      <c r="D4" s="9" t="s">
        <v>46</v>
      </c>
      <c r="E4" s="9" t="s">
        <v>55</v>
      </c>
      <c r="F4" s="1" t="s">
        <v>56</v>
      </c>
      <c r="G4" s="1" t="s">
        <v>57</v>
      </c>
      <c r="H4" s="1" t="n">
        <v>8</v>
      </c>
      <c r="I4" s="10" t="n">
        <v>99720</v>
      </c>
      <c r="J4" s="1" t="s">
        <v>58</v>
      </c>
      <c r="K4" s="1" t="s">
        <v>39</v>
      </c>
      <c r="L4" s="1" t="s">
        <v>51</v>
      </c>
      <c r="M4" s="1" t="s">
        <v>52</v>
      </c>
      <c r="N4" s="1" t="s">
        <v>42</v>
      </c>
      <c r="O4" s="1" t="n">
        <v>7</v>
      </c>
      <c r="P4" s="9" t="s">
        <v>53</v>
      </c>
    </row>
    <row r="5" customFormat="false" ht="15" hidden="false" customHeight="false" outlineLevel="0" collapsed="false">
      <c r="A5" s="1" t="s">
        <v>59</v>
      </c>
      <c r="B5" s="8" t="n">
        <v>45405</v>
      </c>
      <c r="C5" s="1" t="s">
        <v>33</v>
      </c>
      <c r="D5" s="9" t="s">
        <v>46</v>
      </c>
      <c r="E5" s="9" t="s">
        <v>55</v>
      </c>
      <c r="F5" s="1" t="s">
        <v>56</v>
      </c>
      <c r="G5" s="1" t="s">
        <v>60</v>
      </c>
      <c r="H5" s="1" t="n">
        <v>13</v>
      </c>
      <c r="I5" s="10" t="n">
        <v>80858</v>
      </c>
      <c r="J5" s="1" t="s">
        <v>38</v>
      </c>
      <c r="K5" s="1" t="s">
        <v>39</v>
      </c>
      <c r="L5" s="1" t="s">
        <v>51</v>
      </c>
      <c r="M5" s="1" t="s">
        <v>52</v>
      </c>
      <c r="N5" s="1" t="s">
        <v>42</v>
      </c>
      <c r="O5" s="1" t="n">
        <v>7</v>
      </c>
      <c r="P5" s="9" t="s">
        <v>53</v>
      </c>
    </row>
    <row r="6" customFormat="false" ht="15" hidden="false" customHeight="false" outlineLevel="0" collapsed="false">
      <c r="A6" s="1" t="s">
        <v>61</v>
      </c>
      <c r="B6" s="8" t="n">
        <v>45348</v>
      </c>
      <c r="C6" s="1" t="s">
        <v>62</v>
      </c>
      <c r="D6" s="9" t="s">
        <v>46</v>
      </c>
      <c r="E6" s="9" t="s">
        <v>55</v>
      </c>
      <c r="F6" s="1" t="s">
        <v>48</v>
      </c>
      <c r="G6" s="1" t="s">
        <v>57</v>
      </c>
      <c r="H6" s="1" t="n">
        <v>26</v>
      </c>
      <c r="I6" s="10" t="n">
        <v>14076</v>
      </c>
      <c r="J6" s="1" t="s">
        <v>63</v>
      </c>
      <c r="K6" s="1" t="s">
        <v>64</v>
      </c>
      <c r="L6" s="1" t="s">
        <v>65</v>
      </c>
      <c r="M6" s="1" t="s">
        <v>52</v>
      </c>
      <c r="N6" s="1" t="s">
        <v>42</v>
      </c>
      <c r="O6" s="1" t="n">
        <v>7</v>
      </c>
      <c r="P6" s="9" t="s">
        <v>53</v>
      </c>
    </row>
    <row r="7" customFormat="false" ht="15" hidden="false" customHeight="false" outlineLevel="0" collapsed="false">
      <c r="A7" s="1" t="s">
        <v>66</v>
      </c>
      <c r="B7" s="8" t="n">
        <v>45321</v>
      </c>
      <c r="C7" s="1" t="s">
        <v>62</v>
      </c>
      <c r="D7" s="9" t="s">
        <v>67</v>
      </c>
      <c r="E7" s="9" t="s">
        <v>55</v>
      </c>
      <c r="F7" s="1" t="s">
        <v>36</v>
      </c>
      <c r="G7" s="1" t="s">
        <v>60</v>
      </c>
      <c r="H7" s="1" t="n">
        <v>27</v>
      </c>
      <c r="I7" s="10" t="n">
        <v>67086</v>
      </c>
      <c r="J7" s="1" t="s">
        <v>68</v>
      </c>
      <c r="K7" s="1" t="s">
        <v>64</v>
      </c>
      <c r="L7" s="1" t="s">
        <v>69</v>
      </c>
      <c r="M7" s="1" t="s">
        <v>69</v>
      </c>
      <c r="N7" s="1" t="s">
        <v>42</v>
      </c>
      <c r="O7" s="1" t="n">
        <v>30</v>
      </c>
      <c r="P7" s="9" t="s">
        <v>42</v>
      </c>
    </row>
    <row r="8" customFormat="false" ht="15" hidden="false" customHeight="false" outlineLevel="0" collapsed="false">
      <c r="A8" s="1" t="s">
        <v>70</v>
      </c>
      <c r="B8" s="8" t="n">
        <v>45430</v>
      </c>
      <c r="C8" s="1" t="s">
        <v>71</v>
      </c>
      <c r="D8" s="9" t="s">
        <v>46</v>
      </c>
      <c r="E8" s="9" t="s">
        <v>55</v>
      </c>
      <c r="F8" s="1" t="s">
        <v>48</v>
      </c>
      <c r="G8" s="1" t="s">
        <v>60</v>
      </c>
      <c r="H8" s="1" t="n">
        <v>23</v>
      </c>
      <c r="I8" s="10" t="n">
        <v>41743</v>
      </c>
      <c r="J8" s="1" t="s">
        <v>72</v>
      </c>
      <c r="K8" s="1" t="s">
        <v>73</v>
      </c>
      <c r="L8" s="1" t="s">
        <v>74</v>
      </c>
      <c r="M8" s="1" t="s">
        <v>52</v>
      </c>
      <c r="N8" s="1" t="s">
        <v>42</v>
      </c>
      <c r="O8" s="1" t="n">
        <v>7</v>
      </c>
      <c r="P8" s="9" t="s">
        <v>53</v>
      </c>
    </row>
    <row r="9" customFormat="false" ht="15" hidden="false" customHeight="false" outlineLevel="0" collapsed="false">
      <c r="A9" s="1" t="s">
        <v>75</v>
      </c>
      <c r="B9" s="8" t="n">
        <v>45342</v>
      </c>
      <c r="C9" s="1" t="s">
        <v>76</v>
      </c>
      <c r="D9" s="9" t="s">
        <v>67</v>
      </c>
      <c r="E9" s="9" t="s">
        <v>55</v>
      </c>
      <c r="F9" s="1" t="s">
        <v>56</v>
      </c>
      <c r="G9" s="1" t="s">
        <v>37</v>
      </c>
      <c r="H9" s="1" t="n">
        <v>13</v>
      </c>
      <c r="I9" s="10" t="n">
        <v>64337</v>
      </c>
      <c r="J9" s="1" t="s">
        <v>77</v>
      </c>
      <c r="K9" s="1" t="s">
        <v>78</v>
      </c>
      <c r="L9" s="1" t="s">
        <v>74</v>
      </c>
      <c r="M9" s="1" t="s">
        <v>69</v>
      </c>
      <c r="N9" s="1" t="s">
        <v>42</v>
      </c>
      <c r="O9" s="1" t="n">
        <v>30</v>
      </c>
      <c r="P9" s="9" t="s">
        <v>42</v>
      </c>
    </row>
    <row r="10" customFormat="false" ht="15" hidden="false" customHeight="false" outlineLevel="0" collapsed="false">
      <c r="A10" s="1" t="s">
        <v>79</v>
      </c>
      <c r="B10" s="8" t="n">
        <v>45558</v>
      </c>
      <c r="C10" s="1" t="s">
        <v>62</v>
      </c>
      <c r="D10" s="9" t="s">
        <v>34</v>
      </c>
      <c r="E10" s="9" t="s">
        <v>80</v>
      </c>
      <c r="F10" s="1" t="s">
        <v>56</v>
      </c>
      <c r="G10" s="1" t="s">
        <v>37</v>
      </c>
      <c r="H10" s="1" t="n">
        <v>10</v>
      </c>
      <c r="I10" s="10" t="n">
        <v>96050</v>
      </c>
      <c r="J10" s="1" t="s">
        <v>68</v>
      </c>
      <c r="K10" s="1" t="s">
        <v>64</v>
      </c>
      <c r="L10" s="1" t="s">
        <v>51</v>
      </c>
      <c r="M10" s="1" t="s">
        <v>41</v>
      </c>
      <c r="N10" s="1" t="s">
        <v>42</v>
      </c>
      <c r="O10" s="1" t="n">
        <v>14</v>
      </c>
      <c r="P10" s="9" t="s">
        <v>43</v>
      </c>
    </row>
    <row r="11" customFormat="false" ht="15" hidden="false" customHeight="false" outlineLevel="0" collapsed="false">
      <c r="A11" s="1" t="s">
        <v>81</v>
      </c>
      <c r="B11" s="8" t="n">
        <v>45310</v>
      </c>
      <c r="C11" s="1" t="s">
        <v>71</v>
      </c>
      <c r="D11" s="9" t="s">
        <v>46</v>
      </c>
      <c r="E11" s="9" t="s">
        <v>35</v>
      </c>
      <c r="F11" s="1" t="s">
        <v>48</v>
      </c>
      <c r="G11" s="1" t="s">
        <v>37</v>
      </c>
      <c r="H11" s="1" t="n">
        <v>12</v>
      </c>
      <c r="I11" s="10" t="n">
        <v>24146</v>
      </c>
      <c r="J11" s="1" t="s">
        <v>82</v>
      </c>
      <c r="K11" s="1" t="s">
        <v>73</v>
      </c>
      <c r="L11" s="1" t="s">
        <v>65</v>
      </c>
      <c r="M11" s="1" t="s">
        <v>52</v>
      </c>
      <c r="N11" s="1" t="s">
        <v>42</v>
      </c>
      <c r="O11" s="1" t="n">
        <v>7</v>
      </c>
      <c r="P11" s="9" t="s">
        <v>43</v>
      </c>
    </row>
    <row r="12" customFormat="false" ht="15" hidden="false" customHeight="false" outlineLevel="0" collapsed="false">
      <c r="A12" s="1" t="s">
        <v>83</v>
      </c>
      <c r="B12" s="8" t="n">
        <v>45649</v>
      </c>
      <c r="C12" s="1" t="s">
        <v>84</v>
      </c>
      <c r="D12" s="9" t="s">
        <v>46</v>
      </c>
      <c r="E12" s="9" t="s">
        <v>55</v>
      </c>
      <c r="F12" s="1" t="s">
        <v>48</v>
      </c>
      <c r="G12" s="1" t="s">
        <v>60</v>
      </c>
      <c r="H12" s="1" t="n">
        <v>21</v>
      </c>
      <c r="I12" s="10" t="n">
        <v>95926</v>
      </c>
      <c r="J12" s="1" t="s">
        <v>85</v>
      </c>
      <c r="K12" s="1" t="s">
        <v>86</v>
      </c>
      <c r="L12" s="1" t="s">
        <v>74</v>
      </c>
      <c r="M12" s="1" t="s">
        <v>52</v>
      </c>
      <c r="N12" s="1" t="s">
        <v>53</v>
      </c>
      <c r="O12" s="1" t="n">
        <v>7</v>
      </c>
      <c r="P12" s="9" t="s">
        <v>53</v>
      </c>
    </row>
    <row r="13" customFormat="false" ht="15" hidden="false" customHeight="false" outlineLevel="0" collapsed="false">
      <c r="A13" s="1" t="s">
        <v>87</v>
      </c>
      <c r="B13" s="8" t="n">
        <v>45300</v>
      </c>
      <c r="C13" s="1" t="s">
        <v>84</v>
      </c>
      <c r="D13" s="9" t="s">
        <v>34</v>
      </c>
      <c r="E13" s="9" t="s">
        <v>55</v>
      </c>
      <c r="F13" s="1" t="s">
        <v>88</v>
      </c>
      <c r="G13" s="1" t="s">
        <v>60</v>
      </c>
      <c r="H13" s="1" t="n">
        <v>17</v>
      </c>
      <c r="I13" s="10" t="n">
        <v>3268</v>
      </c>
      <c r="J13" s="1" t="s">
        <v>85</v>
      </c>
      <c r="K13" s="1" t="s">
        <v>86</v>
      </c>
      <c r="L13" s="1" t="s">
        <v>51</v>
      </c>
      <c r="M13" s="1" t="s">
        <v>41</v>
      </c>
      <c r="N13" s="1" t="s">
        <v>42</v>
      </c>
      <c r="O13" s="1" t="n">
        <v>14</v>
      </c>
      <c r="P13" s="9" t="s">
        <v>53</v>
      </c>
    </row>
    <row r="14" customFormat="false" ht="15" hidden="false" customHeight="false" outlineLevel="0" collapsed="false">
      <c r="A14" s="1" t="s">
        <v>89</v>
      </c>
      <c r="B14" s="8" t="n">
        <v>45323</v>
      </c>
      <c r="C14" s="1" t="s">
        <v>33</v>
      </c>
      <c r="D14" s="9" t="s">
        <v>34</v>
      </c>
      <c r="E14" s="9" t="s">
        <v>55</v>
      </c>
      <c r="F14" s="1" t="s">
        <v>90</v>
      </c>
      <c r="G14" s="1" t="s">
        <v>37</v>
      </c>
      <c r="H14" s="1" t="n">
        <v>18</v>
      </c>
      <c r="I14" s="10" t="n">
        <v>6733</v>
      </c>
      <c r="J14" s="1" t="s">
        <v>38</v>
      </c>
      <c r="K14" s="1" t="s">
        <v>39</v>
      </c>
      <c r="L14" s="1" t="s">
        <v>91</v>
      </c>
      <c r="M14" s="1" t="s">
        <v>41</v>
      </c>
      <c r="N14" s="1" t="s">
        <v>42</v>
      </c>
      <c r="O14" s="1" t="n">
        <v>14</v>
      </c>
      <c r="P14" s="9" t="s">
        <v>53</v>
      </c>
    </row>
    <row r="15" customFormat="false" ht="15" hidden="false" customHeight="false" outlineLevel="0" collapsed="false">
      <c r="A15" s="1" t="s">
        <v>92</v>
      </c>
      <c r="B15" s="8" t="n">
        <v>45554</v>
      </c>
      <c r="C15" s="1" t="s">
        <v>76</v>
      </c>
      <c r="D15" s="9" t="s">
        <v>34</v>
      </c>
      <c r="E15" s="9" t="s">
        <v>35</v>
      </c>
      <c r="F15" s="1" t="s">
        <v>88</v>
      </c>
      <c r="G15" s="1" t="s">
        <v>60</v>
      </c>
      <c r="H15" s="1" t="n">
        <v>25</v>
      </c>
      <c r="I15" s="10" t="n">
        <v>96403</v>
      </c>
      <c r="J15" s="1" t="s">
        <v>93</v>
      </c>
      <c r="K15" s="1" t="s">
        <v>78</v>
      </c>
      <c r="L15" s="1" t="s">
        <v>51</v>
      </c>
      <c r="M15" s="1" t="s">
        <v>41</v>
      </c>
      <c r="N15" s="1" t="s">
        <v>42</v>
      </c>
      <c r="O15" s="1" t="n">
        <v>14</v>
      </c>
      <c r="P15" s="9" t="s">
        <v>43</v>
      </c>
    </row>
    <row r="16" customFormat="false" ht="15" hidden="false" customHeight="false" outlineLevel="0" collapsed="false">
      <c r="A16" s="1" t="s">
        <v>94</v>
      </c>
      <c r="B16" s="8" t="n">
        <v>45344</v>
      </c>
      <c r="C16" s="1" t="s">
        <v>84</v>
      </c>
      <c r="D16" s="9" t="s">
        <v>34</v>
      </c>
      <c r="E16" s="9" t="s">
        <v>55</v>
      </c>
      <c r="F16" s="1" t="s">
        <v>88</v>
      </c>
      <c r="G16" s="1" t="s">
        <v>57</v>
      </c>
      <c r="H16" s="1" t="n">
        <v>15</v>
      </c>
      <c r="I16" s="10" t="n">
        <v>19903</v>
      </c>
      <c r="J16" s="1" t="s">
        <v>95</v>
      </c>
      <c r="K16" s="1" t="s">
        <v>86</v>
      </c>
      <c r="L16" s="1" t="s">
        <v>51</v>
      </c>
      <c r="M16" s="1" t="s">
        <v>41</v>
      </c>
      <c r="N16" s="1" t="s">
        <v>42</v>
      </c>
      <c r="O16" s="1" t="n">
        <v>14</v>
      </c>
      <c r="P16" s="9" t="s">
        <v>53</v>
      </c>
    </row>
    <row r="17" customFormat="false" ht="15" hidden="false" customHeight="false" outlineLevel="0" collapsed="false">
      <c r="A17" s="1" t="s">
        <v>96</v>
      </c>
      <c r="B17" s="8" t="n">
        <v>45508</v>
      </c>
      <c r="C17" s="1" t="s">
        <v>71</v>
      </c>
      <c r="D17" s="9" t="s">
        <v>34</v>
      </c>
      <c r="E17" s="9" t="s">
        <v>55</v>
      </c>
      <c r="F17" s="1" t="s">
        <v>48</v>
      </c>
      <c r="G17" s="1" t="s">
        <v>60</v>
      </c>
      <c r="H17" s="1" t="n">
        <v>5</v>
      </c>
      <c r="I17" s="10" t="n">
        <v>1306</v>
      </c>
      <c r="J17" s="1" t="s">
        <v>82</v>
      </c>
      <c r="K17" s="1" t="s">
        <v>73</v>
      </c>
      <c r="L17" s="1" t="s">
        <v>74</v>
      </c>
      <c r="M17" s="1" t="s">
        <v>41</v>
      </c>
      <c r="N17" s="1" t="s">
        <v>42</v>
      </c>
      <c r="O17" s="1" t="n">
        <v>14</v>
      </c>
      <c r="P17" s="9" t="s">
        <v>42</v>
      </c>
    </row>
    <row r="18" customFormat="false" ht="15" hidden="false" customHeight="false" outlineLevel="0" collapsed="false">
      <c r="A18" s="1" t="s">
        <v>97</v>
      </c>
      <c r="B18" s="8" t="n">
        <v>45297</v>
      </c>
      <c r="C18" s="1" t="s">
        <v>76</v>
      </c>
      <c r="D18" s="9" t="s">
        <v>67</v>
      </c>
      <c r="E18" s="9" t="s">
        <v>55</v>
      </c>
      <c r="F18" s="1" t="s">
        <v>56</v>
      </c>
      <c r="G18" s="1" t="s">
        <v>57</v>
      </c>
      <c r="H18" s="1" t="n">
        <v>14</v>
      </c>
      <c r="I18" s="10" t="n">
        <v>25220</v>
      </c>
      <c r="J18" s="1" t="s">
        <v>77</v>
      </c>
      <c r="K18" s="1" t="s">
        <v>78</v>
      </c>
      <c r="L18" s="1" t="s">
        <v>74</v>
      </c>
      <c r="M18" s="1" t="s">
        <v>69</v>
      </c>
      <c r="N18" s="1" t="s">
        <v>42</v>
      </c>
      <c r="O18" s="1" t="n">
        <v>30</v>
      </c>
      <c r="P18" s="9" t="s">
        <v>42</v>
      </c>
    </row>
    <row r="19" customFormat="false" ht="15" hidden="false" customHeight="false" outlineLevel="0" collapsed="false">
      <c r="A19" s="1" t="s">
        <v>98</v>
      </c>
      <c r="B19" s="8" t="n">
        <v>45505</v>
      </c>
      <c r="C19" s="1" t="s">
        <v>33</v>
      </c>
      <c r="D19" s="9" t="s">
        <v>34</v>
      </c>
      <c r="E19" s="9" t="s">
        <v>55</v>
      </c>
      <c r="F19" s="1" t="s">
        <v>56</v>
      </c>
      <c r="G19" s="1" t="s">
        <v>99</v>
      </c>
      <c r="H19" s="1" t="n">
        <v>14</v>
      </c>
      <c r="I19" s="10" t="n">
        <v>89091</v>
      </c>
      <c r="J19" s="1" t="s">
        <v>58</v>
      </c>
      <c r="K19" s="1" t="s">
        <v>39</v>
      </c>
      <c r="L19" s="1" t="s">
        <v>51</v>
      </c>
      <c r="M19" s="1" t="s">
        <v>41</v>
      </c>
      <c r="N19" s="1" t="s">
        <v>42</v>
      </c>
      <c r="O19" s="1" t="n">
        <v>14</v>
      </c>
      <c r="P19" s="9" t="s">
        <v>42</v>
      </c>
    </row>
    <row r="20" customFormat="false" ht="15" hidden="false" customHeight="false" outlineLevel="0" collapsed="false">
      <c r="A20" s="1" t="s">
        <v>100</v>
      </c>
      <c r="B20" s="8" t="n">
        <v>45362</v>
      </c>
      <c r="C20" s="1" t="s">
        <v>76</v>
      </c>
      <c r="D20" s="9" t="s">
        <v>67</v>
      </c>
      <c r="E20" s="9" t="s">
        <v>55</v>
      </c>
      <c r="F20" s="1" t="s">
        <v>36</v>
      </c>
      <c r="G20" s="1" t="s">
        <v>60</v>
      </c>
      <c r="H20" s="1" t="n">
        <v>13</v>
      </c>
      <c r="I20" s="10" t="n">
        <v>4320</v>
      </c>
      <c r="J20" s="1" t="s">
        <v>77</v>
      </c>
      <c r="K20" s="1" t="s">
        <v>78</v>
      </c>
      <c r="L20" s="1" t="s">
        <v>69</v>
      </c>
      <c r="M20" s="1" t="s">
        <v>69</v>
      </c>
      <c r="N20" s="1" t="s">
        <v>42</v>
      </c>
      <c r="O20" s="1" t="n">
        <v>30</v>
      </c>
      <c r="P20" s="9" t="s">
        <v>42</v>
      </c>
    </row>
    <row r="21" customFormat="false" ht="15" hidden="false" customHeight="false" outlineLevel="0" collapsed="false">
      <c r="A21" s="1" t="s">
        <v>101</v>
      </c>
      <c r="B21" s="8" t="n">
        <v>45609</v>
      </c>
      <c r="C21" s="1" t="s">
        <v>33</v>
      </c>
      <c r="D21" s="9" t="s">
        <v>34</v>
      </c>
      <c r="E21" s="9" t="s">
        <v>55</v>
      </c>
      <c r="F21" s="1" t="s">
        <v>56</v>
      </c>
      <c r="G21" s="1" t="s">
        <v>57</v>
      </c>
      <c r="H21" s="1" t="n">
        <v>29</v>
      </c>
      <c r="I21" s="10" t="n">
        <v>36084</v>
      </c>
      <c r="J21" s="1" t="s">
        <v>102</v>
      </c>
      <c r="K21" s="1" t="s">
        <v>39</v>
      </c>
      <c r="L21" s="1" t="s">
        <v>51</v>
      </c>
      <c r="M21" s="1" t="s">
        <v>41</v>
      </c>
      <c r="N21" s="1" t="s">
        <v>42</v>
      </c>
      <c r="O21" s="1" t="n">
        <v>14</v>
      </c>
      <c r="P21" s="9" t="s">
        <v>53</v>
      </c>
    </row>
    <row r="22" customFormat="false" ht="15" hidden="false" customHeight="false" outlineLevel="0" collapsed="false">
      <c r="A22" s="1" t="s">
        <v>103</v>
      </c>
      <c r="B22" s="8" t="n">
        <v>45442</v>
      </c>
      <c r="C22" s="1" t="s">
        <v>33</v>
      </c>
      <c r="D22" s="9" t="s">
        <v>34</v>
      </c>
      <c r="E22" s="9" t="s">
        <v>55</v>
      </c>
      <c r="F22" s="1" t="s">
        <v>48</v>
      </c>
      <c r="G22" s="1" t="s">
        <v>37</v>
      </c>
      <c r="H22" s="1" t="n">
        <v>19</v>
      </c>
      <c r="I22" s="10" t="n">
        <v>68931</v>
      </c>
      <c r="J22" s="1" t="s">
        <v>58</v>
      </c>
      <c r="K22" s="1" t="s">
        <v>39</v>
      </c>
      <c r="L22" s="1" t="s">
        <v>65</v>
      </c>
      <c r="M22" s="1" t="s">
        <v>41</v>
      </c>
      <c r="N22" s="1" t="s">
        <v>42</v>
      </c>
      <c r="O22" s="1" t="n">
        <v>14</v>
      </c>
      <c r="P22" s="9" t="s">
        <v>53</v>
      </c>
    </row>
    <row r="23" customFormat="false" ht="15" hidden="false" customHeight="false" outlineLevel="0" collapsed="false">
      <c r="A23" s="1" t="s">
        <v>104</v>
      </c>
      <c r="B23" s="8" t="n">
        <v>45625</v>
      </c>
      <c r="C23" s="1" t="s">
        <v>76</v>
      </c>
      <c r="D23" s="9" t="s">
        <v>105</v>
      </c>
      <c r="E23" s="9" t="s">
        <v>55</v>
      </c>
      <c r="F23" s="1" t="s">
        <v>48</v>
      </c>
      <c r="G23" s="1" t="s">
        <v>60</v>
      </c>
      <c r="H23" s="1" t="n">
        <v>19</v>
      </c>
      <c r="I23" s="10" t="n">
        <v>8981</v>
      </c>
      <c r="J23" s="1" t="s">
        <v>93</v>
      </c>
      <c r="K23" s="1" t="s">
        <v>78</v>
      </c>
      <c r="L23" s="1" t="s">
        <v>51</v>
      </c>
      <c r="M23" s="1" t="s">
        <v>106</v>
      </c>
      <c r="N23" s="1" t="s">
        <v>42</v>
      </c>
      <c r="O23" s="1" t="n">
        <v>3</v>
      </c>
      <c r="P23" s="9" t="s">
        <v>53</v>
      </c>
    </row>
    <row r="24" customFormat="false" ht="15" hidden="false" customHeight="false" outlineLevel="0" collapsed="false">
      <c r="A24" s="1" t="s">
        <v>107</v>
      </c>
      <c r="B24" s="8" t="n">
        <v>45404</v>
      </c>
      <c r="C24" s="1" t="s">
        <v>33</v>
      </c>
      <c r="D24" s="9" t="s">
        <v>34</v>
      </c>
      <c r="E24" s="9" t="s">
        <v>55</v>
      </c>
      <c r="F24" s="1" t="s">
        <v>36</v>
      </c>
      <c r="G24" s="1" t="s">
        <v>60</v>
      </c>
      <c r="H24" s="1" t="n">
        <v>27</v>
      </c>
      <c r="I24" s="10" t="n">
        <v>28208</v>
      </c>
      <c r="J24" s="1" t="s">
        <v>38</v>
      </c>
      <c r="K24" s="1" t="s">
        <v>39</v>
      </c>
      <c r="L24" s="1" t="s">
        <v>40</v>
      </c>
      <c r="M24" s="1" t="s">
        <v>41</v>
      </c>
      <c r="N24" s="1" t="s">
        <v>42</v>
      </c>
      <c r="O24" s="1" t="n">
        <v>14</v>
      </c>
      <c r="P24" s="9" t="s">
        <v>53</v>
      </c>
    </row>
    <row r="25" customFormat="false" ht="15" hidden="false" customHeight="false" outlineLevel="0" collapsed="false">
      <c r="A25" s="1" t="s">
        <v>108</v>
      </c>
      <c r="B25" s="8" t="n">
        <v>45430</v>
      </c>
      <c r="C25" s="1" t="s">
        <v>84</v>
      </c>
      <c r="D25" s="9" t="s">
        <v>46</v>
      </c>
      <c r="E25" s="9" t="s">
        <v>55</v>
      </c>
      <c r="F25" s="1" t="s">
        <v>90</v>
      </c>
      <c r="G25" s="1" t="s">
        <v>57</v>
      </c>
      <c r="H25" s="1" t="n">
        <v>14</v>
      </c>
      <c r="I25" s="10" t="n">
        <v>70742</v>
      </c>
      <c r="J25" s="1" t="s">
        <v>109</v>
      </c>
      <c r="K25" s="1" t="s">
        <v>86</v>
      </c>
      <c r="L25" s="1" t="s">
        <v>74</v>
      </c>
      <c r="M25" s="1" t="s">
        <v>52</v>
      </c>
      <c r="N25" s="1" t="s">
        <v>42</v>
      </c>
      <c r="O25" s="1" t="n">
        <v>7</v>
      </c>
      <c r="P25" s="9" t="s">
        <v>53</v>
      </c>
    </row>
    <row r="26" customFormat="false" ht="15" hidden="false" customHeight="false" outlineLevel="0" collapsed="false">
      <c r="A26" s="1" t="s">
        <v>110</v>
      </c>
      <c r="B26" s="8" t="n">
        <v>45599</v>
      </c>
      <c r="C26" s="1" t="s">
        <v>84</v>
      </c>
      <c r="D26" s="9" t="s">
        <v>67</v>
      </c>
      <c r="E26" s="9" t="s">
        <v>55</v>
      </c>
      <c r="F26" s="1" t="s">
        <v>48</v>
      </c>
      <c r="G26" s="1" t="s">
        <v>37</v>
      </c>
      <c r="H26" s="1" t="n">
        <v>4</v>
      </c>
      <c r="I26" s="10" t="n">
        <v>28666</v>
      </c>
      <c r="J26" s="1" t="s">
        <v>85</v>
      </c>
      <c r="K26" s="1" t="s">
        <v>86</v>
      </c>
      <c r="L26" s="1" t="s">
        <v>65</v>
      </c>
      <c r="M26" s="1" t="s">
        <v>69</v>
      </c>
      <c r="N26" s="1" t="s">
        <v>53</v>
      </c>
      <c r="O26" s="1" t="n">
        <v>30</v>
      </c>
      <c r="P26" s="9" t="s">
        <v>42</v>
      </c>
    </row>
    <row r="27" customFormat="false" ht="15" hidden="false" customHeight="false" outlineLevel="0" collapsed="false">
      <c r="A27" s="1" t="s">
        <v>111</v>
      </c>
      <c r="B27" s="8" t="n">
        <v>45619</v>
      </c>
      <c r="C27" s="1" t="s">
        <v>62</v>
      </c>
      <c r="D27" s="9" t="s">
        <v>34</v>
      </c>
      <c r="E27" s="9" t="s">
        <v>47</v>
      </c>
      <c r="F27" s="1" t="s">
        <v>90</v>
      </c>
      <c r="G27" s="1" t="s">
        <v>60</v>
      </c>
      <c r="H27" s="1" t="n">
        <v>12</v>
      </c>
      <c r="I27" s="10" t="n">
        <v>41949</v>
      </c>
      <c r="J27" s="1" t="s">
        <v>68</v>
      </c>
      <c r="K27" s="1" t="s">
        <v>64</v>
      </c>
      <c r="L27" s="1" t="s">
        <v>40</v>
      </c>
      <c r="M27" s="1" t="s">
        <v>41</v>
      </c>
      <c r="N27" s="1" t="s">
        <v>42</v>
      </c>
      <c r="O27" s="1" t="n">
        <v>14</v>
      </c>
      <c r="P27" s="9" t="s">
        <v>43</v>
      </c>
    </row>
    <row r="28" customFormat="false" ht="15" hidden="false" customHeight="false" outlineLevel="0" collapsed="false">
      <c r="A28" s="1" t="s">
        <v>112</v>
      </c>
      <c r="B28" s="8" t="n">
        <v>45637</v>
      </c>
      <c r="C28" s="1" t="s">
        <v>76</v>
      </c>
      <c r="D28" s="9" t="s">
        <v>46</v>
      </c>
      <c r="E28" s="9" t="s">
        <v>55</v>
      </c>
      <c r="F28" s="1" t="s">
        <v>56</v>
      </c>
      <c r="G28" s="1" t="s">
        <v>57</v>
      </c>
      <c r="H28" s="1" t="n">
        <v>14</v>
      </c>
      <c r="I28" s="10" t="n">
        <v>63872</v>
      </c>
      <c r="J28" s="1" t="s">
        <v>93</v>
      </c>
      <c r="K28" s="1" t="s">
        <v>78</v>
      </c>
      <c r="L28" s="1" t="s">
        <v>51</v>
      </c>
      <c r="M28" s="1" t="s">
        <v>52</v>
      </c>
      <c r="N28" s="1" t="s">
        <v>42</v>
      </c>
      <c r="O28" s="1" t="n">
        <v>7</v>
      </c>
      <c r="P28" s="9" t="s">
        <v>53</v>
      </c>
    </row>
    <row r="29" customFormat="false" ht="15" hidden="false" customHeight="false" outlineLevel="0" collapsed="false">
      <c r="A29" s="1" t="s">
        <v>113</v>
      </c>
      <c r="B29" s="8" t="n">
        <v>45605</v>
      </c>
      <c r="C29" s="1" t="s">
        <v>84</v>
      </c>
      <c r="D29" s="9" t="s">
        <v>34</v>
      </c>
      <c r="E29" s="9" t="s">
        <v>35</v>
      </c>
      <c r="F29" s="1" t="s">
        <v>88</v>
      </c>
      <c r="G29" s="1" t="s">
        <v>99</v>
      </c>
      <c r="H29" s="1" t="n">
        <v>14</v>
      </c>
      <c r="I29" s="10" t="n">
        <v>56187</v>
      </c>
      <c r="J29" s="1" t="s">
        <v>109</v>
      </c>
      <c r="K29" s="1" t="s">
        <v>86</v>
      </c>
      <c r="L29" s="1" t="s">
        <v>40</v>
      </c>
      <c r="M29" s="1" t="s">
        <v>41</v>
      </c>
      <c r="N29" s="1" t="s">
        <v>42</v>
      </c>
      <c r="O29" s="1" t="n">
        <v>14</v>
      </c>
      <c r="P29" s="9" t="s">
        <v>43</v>
      </c>
    </row>
    <row r="30" customFormat="false" ht="15" hidden="false" customHeight="false" outlineLevel="0" collapsed="false">
      <c r="A30" s="1" t="s">
        <v>114</v>
      </c>
      <c r="B30" s="8" t="n">
        <v>45405</v>
      </c>
      <c r="C30" s="1" t="s">
        <v>45</v>
      </c>
      <c r="D30" s="9" t="s">
        <v>34</v>
      </c>
      <c r="E30" s="9" t="s">
        <v>55</v>
      </c>
      <c r="F30" s="1" t="s">
        <v>48</v>
      </c>
      <c r="G30" s="1" t="s">
        <v>57</v>
      </c>
      <c r="H30" s="1" t="n">
        <v>18</v>
      </c>
      <c r="I30" s="10" t="n">
        <v>84106</v>
      </c>
      <c r="J30" s="1" t="s">
        <v>115</v>
      </c>
      <c r="K30" s="1" t="s">
        <v>50</v>
      </c>
      <c r="L30" s="1" t="s">
        <v>51</v>
      </c>
      <c r="M30" s="1" t="s">
        <v>41</v>
      </c>
      <c r="N30" s="1" t="s">
        <v>53</v>
      </c>
      <c r="O30" s="1" t="n">
        <v>14</v>
      </c>
      <c r="P30" s="9" t="s">
        <v>53</v>
      </c>
    </row>
    <row r="31" customFormat="false" ht="15" hidden="false" customHeight="false" outlineLevel="0" collapsed="false">
      <c r="A31" s="1" t="s">
        <v>116</v>
      </c>
      <c r="B31" s="8" t="n">
        <v>45645</v>
      </c>
      <c r="C31" s="1" t="s">
        <v>62</v>
      </c>
      <c r="D31" s="9" t="s">
        <v>46</v>
      </c>
      <c r="E31" s="9" t="s">
        <v>80</v>
      </c>
      <c r="F31" s="1" t="s">
        <v>56</v>
      </c>
      <c r="G31" s="1" t="s">
        <v>60</v>
      </c>
      <c r="H31" s="1" t="n">
        <v>15</v>
      </c>
      <c r="I31" s="10" t="n">
        <v>11425</v>
      </c>
      <c r="J31" s="1" t="s">
        <v>63</v>
      </c>
      <c r="K31" s="1" t="s">
        <v>64</v>
      </c>
      <c r="L31" s="1" t="s">
        <v>74</v>
      </c>
      <c r="M31" s="1" t="s">
        <v>52</v>
      </c>
      <c r="N31" s="1" t="s">
        <v>42</v>
      </c>
      <c r="O31" s="1" t="n">
        <v>7</v>
      </c>
      <c r="P31" s="9" t="s">
        <v>43</v>
      </c>
    </row>
    <row r="32" customFormat="false" ht="15" hidden="false" customHeight="false" outlineLevel="0" collapsed="false">
      <c r="A32" s="1" t="s">
        <v>117</v>
      </c>
      <c r="B32" s="8" t="n">
        <v>45575</v>
      </c>
      <c r="C32" s="1" t="s">
        <v>33</v>
      </c>
      <c r="D32" s="9" t="s">
        <v>34</v>
      </c>
      <c r="E32" s="9" t="s">
        <v>55</v>
      </c>
      <c r="F32" s="1" t="s">
        <v>90</v>
      </c>
      <c r="G32" s="1" t="s">
        <v>99</v>
      </c>
      <c r="H32" s="1" t="n">
        <v>5</v>
      </c>
      <c r="I32" s="10" t="n">
        <v>97966</v>
      </c>
      <c r="J32" s="1" t="s">
        <v>58</v>
      </c>
      <c r="K32" s="1" t="s">
        <v>39</v>
      </c>
      <c r="L32" s="1" t="s">
        <v>74</v>
      </c>
      <c r="M32" s="1" t="s">
        <v>41</v>
      </c>
      <c r="N32" s="1" t="s">
        <v>42</v>
      </c>
      <c r="O32" s="1" t="n">
        <v>14</v>
      </c>
      <c r="P32" s="9" t="s">
        <v>42</v>
      </c>
    </row>
    <row r="33" customFormat="false" ht="15" hidden="false" customHeight="false" outlineLevel="0" collapsed="false">
      <c r="A33" s="1" t="s">
        <v>118</v>
      </c>
      <c r="B33" s="8" t="n">
        <v>45606</v>
      </c>
      <c r="C33" s="1" t="s">
        <v>76</v>
      </c>
      <c r="D33" s="9" t="s">
        <v>46</v>
      </c>
      <c r="E33" s="9" t="s">
        <v>80</v>
      </c>
      <c r="F33" s="1" t="s">
        <v>48</v>
      </c>
      <c r="G33" s="1" t="s">
        <v>37</v>
      </c>
      <c r="H33" s="1" t="n">
        <v>25</v>
      </c>
      <c r="I33" s="10" t="n">
        <v>54092</v>
      </c>
      <c r="J33" s="1" t="s">
        <v>119</v>
      </c>
      <c r="K33" s="1" t="s">
        <v>78</v>
      </c>
      <c r="L33" s="1" t="s">
        <v>51</v>
      </c>
      <c r="M33" s="1" t="s">
        <v>52</v>
      </c>
      <c r="N33" s="1" t="s">
        <v>42</v>
      </c>
      <c r="O33" s="1" t="n">
        <v>7</v>
      </c>
      <c r="P33" s="9" t="s">
        <v>43</v>
      </c>
    </row>
    <row r="34" customFormat="false" ht="15" hidden="false" customHeight="false" outlineLevel="0" collapsed="false">
      <c r="A34" s="1" t="s">
        <v>120</v>
      </c>
      <c r="B34" s="8" t="n">
        <v>45490</v>
      </c>
      <c r="C34" s="1" t="s">
        <v>62</v>
      </c>
      <c r="D34" s="9" t="s">
        <v>67</v>
      </c>
      <c r="E34" s="9" t="s">
        <v>55</v>
      </c>
      <c r="F34" s="1" t="s">
        <v>88</v>
      </c>
      <c r="G34" s="1" t="s">
        <v>37</v>
      </c>
      <c r="H34" s="1" t="n">
        <v>5</v>
      </c>
      <c r="I34" s="10" t="n">
        <v>80421</v>
      </c>
      <c r="J34" s="1" t="s">
        <v>63</v>
      </c>
      <c r="K34" s="1" t="s">
        <v>64</v>
      </c>
      <c r="L34" s="1" t="s">
        <v>74</v>
      </c>
      <c r="M34" s="1" t="s">
        <v>69</v>
      </c>
      <c r="N34" s="1" t="s">
        <v>42</v>
      </c>
      <c r="O34" s="1" t="n">
        <v>30</v>
      </c>
      <c r="P34" s="9" t="s">
        <v>42</v>
      </c>
    </row>
    <row r="35" customFormat="false" ht="15" hidden="false" customHeight="false" outlineLevel="0" collapsed="false">
      <c r="A35" s="1" t="s">
        <v>121</v>
      </c>
      <c r="B35" s="8" t="n">
        <v>45615</v>
      </c>
      <c r="C35" s="1" t="s">
        <v>62</v>
      </c>
      <c r="D35" s="9" t="s">
        <v>34</v>
      </c>
      <c r="E35" s="9" t="s">
        <v>55</v>
      </c>
      <c r="F35" s="1" t="s">
        <v>90</v>
      </c>
      <c r="G35" s="1" t="s">
        <v>37</v>
      </c>
      <c r="H35" s="1" t="n">
        <v>14</v>
      </c>
      <c r="I35" s="10" t="n">
        <v>62803</v>
      </c>
      <c r="J35" s="1" t="s">
        <v>63</v>
      </c>
      <c r="K35" s="1" t="s">
        <v>64</v>
      </c>
      <c r="L35" s="1" t="s">
        <v>91</v>
      </c>
      <c r="M35" s="1" t="s">
        <v>41</v>
      </c>
      <c r="N35" s="1" t="s">
        <v>53</v>
      </c>
      <c r="O35" s="1" t="n">
        <v>14</v>
      </c>
      <c r="P35" s="9" t="s">
        <v>42</v>
      </c>
    </row>
    <row r="36" customFormat="false" ht="15" hidden="false" customHeight="false" outlineLevel="0" collapsed="false">
      <c r="A36" s="1" t="s">
        <v>122</v>
      </c>
      <c r="B36" s="8" t="n">
        <v>45394</v>
      </c>
      <c r="C36" s="1" t="s">
        <v>84</v>
      </c>
      <c r="D36" s="9" t="s">
        <v>105</v>
      </c>
      <c r="E36" s="9" t="s">
        <v>55</v>
      </c>
      <c r="F36" s="1" t="s">
        <v>56</v>
      </c>
      <c r="G36" s="1" t="s">
        <v>99</v>
      </c>
      <c r="H36" s="1" t="n">
        <v>14</v>
      </c>
      <c r="I36" s="10" t="n">
        <v>55150</v>
      </c>
      <c r="J36" s="1" t="s">
        <v>85</v>
      </c>
      <c r="K36" s="1" t="s">
        <v>86</v>
      </c>
      <c r="L36" s="1" t="s">
        <v>74</v>
      </c>
      <c r="M36" s="1" t="s">
        <v>106</v>
      </c>
      <c r="N36" s="1" t="s">
        <v>53</v>
      </c>
      <c r="O36" s="1" t="n">
        <v>3</v>
      </c>
      <c r="P36" s="9" t="s">
        <v>53</v>
      </c>
    </row>
    <row r="37" customFormat="false" ht="15" hidden="false" customHeight="false" outlineLevel="0" collapsed="false">
      <c r="A37" s="1" t="s">
        <v>123</v>
      </c>
      <c r="B37" s="8" t="n">
        <v>45495</v>
      </c>
      <c r="C37" s="1" t="s">
        <v>76</v>
      </c>
      <c r="D37" s="9" t="s">
        <v>34</v>
      </c>
      <c r="E37" s="9" t="s">
        <v>80</v>
      </c>
      <c r="F37" s="1" t="s">
        <v>36</v>
      </c>
      <c r="G37" s="1" t="s">
        <v>57</v>
      </c>
      <c r="H37" s="1" t="n">
        <v>5</v>
      </c>
      <c r="I37" s="10" t="n">
        <v>12951</v>
      </c>
      <c r="J37" s="1" t="s">
        <v>77</v>
      </c>
      <c r="K37" s="1" t="s">
        <v>78</v>
      </c>
      <c r="L37" s="1" t="s">
        <v>51</v>
      </c>
      <c r="M37" s="1" t="s">
        <v>41</v>
      </c>
      <c r="N37" s="1" t="s">
        <v>42</v>
      </c>
      <c r="O37" s="1" t="n">
        <v>14</v>
      </c>
      <c r="P37" s="9" t="s">
        <v>43</v>
      </c>
    </row>
    <row r="38" customFormat="false" ht="15" hidden="false" customHeight="false" outlineLevel="0" collapsed="false">
      <c r="A38" s="1" t="s">
        <v>124</v>
      </c>
      <c r="B38" s="8" t="n">
        <v>45345</v>
      </c>
      <c r="C38" s="1" t="s">
        <v>71</v>
      </c>
      <c r="D38" s="9" t="s">
        <v>46</v>
      </c>
      <c r="E38" s="9" t="s">
        <v>55</v>
      </c>
      <c r="F38" s="1" t="s">
        <v>88</v>
      </c>
      <c r="G38" s="1" t="s">
        <v>57</v>
      </c>
      <c r="H38" s="1" t="n">
        <v>17</v>
      </c>
      <c r="I38" s="10" t="n">
        <v>32741</v>
      </c>
      <c r="J38" s="1" t="s">
        <v>125</v>
      </c>
      <c r="K38" s="1" t="s">
        <v>73</v>
      </c>
      <c r="L38" s="1" t="s">
        <v>74</v>
      </c>
      <c r="M38" s="1" t="s">
        <v>52</v>
      </c>
      <c r="N38" s="1" t="s">
        <v>42</v>
      </c>
      <c r="O38" s="1" t="n">
        <v>7</v>
      </c>
      <c r="P38" s="9" t="s">
        <v>53</v>
      </c>
    </row>
    <row r="39" customFormat="false" ht="15" hidden="false" customHeight="false" outlineLevel="0" collapsed="false">
      <c r="A39" s="1" t="s">
        <v>126</v>
      </c>
      <c r="B39" s="8" t="n">
        <v>45617</v>
      </c>
      <c r="C39" s="1" t="s">
        <v>62</v>
      </c>
      <c r="D39" s="9" t="s">
        <v>67</v>
      </c>
      <c r="E39" s="9" t="s">
        <v>47</v>
      </c>
      <c r="F39" s="1" t="s">
        <v>90</v>
      </c>
      <c r="G39" s="1" t="s">
        <v>37</v>
      </c>
      <c r="H39" s="1" t="n">
        <v>1</v>
      </c>
      <c r="I39" s="10" t="n">
        <v>40909</v>
      </c>
      <c r="J39" s="1" t="s">
        <v>127</v>
      </c>
      <c r="K39" s="1" t="s">
        <v>64</v>
      </c>
      <c r="L39" s="1" t="s">
        <v>91</v>
      </c>
      <c r="M39" s="1" t="s">
        <v>69</v>
      </c>
      <c r="N39" s="1" t="s">
        <v>42</v>
      </c>
      <c r="O39" s="1" t="n">
        <v>30</v>
      </c>
      <c r="P39" s="9" t="s">
        <v>43</v>
      </c>
    </row>
    <row r="40" customFormat="false" ht="15" hidden="false" customHeight="false" outlineLevel="0" collapsed="false">
      <c r="A40" s="1" t="s">
        <v>128</v>
      </c>
      <c r="B40" s="8" t="n">
        <v>45511</v>
      </c>
      <c r="C40" s="1" t="s">
        <v>84</v>
      </c>
      <c r="D40" s="9" t="s">
        <v>34</v>
      </c>
      <c r="E40" s="9" t="s">
        <v>35</v>
      </c>
      <c r="F40" s="1" t="s">
        <v>48</v>
      </c>
      <c r="G40" s="1" t="s">
        <v>99</v>
      </c>
      <c r="H40" s="1" t="n">
        <v>15</v>
      </c>
      <c r="I40" s="10" t="n">
        <v>89203</v>
      </c>
      <c r="J40" s="1" t="s">
        <v>109</v>
      </c>
      <c r="K40" s="1" t="s">
        <v>86</v>
      </c>
      <c r="L40" s="1" t="s">
        <v>65</v>
      </c>
      <c r="M40" s="1" t="s">
        <v>41</v>
      </c>
      <c r="N40" s="1" t="s">
        <v>53</v>
      </c>
      <c r="O40" s="1" t="n">
        <v>14</v>
      </c>
      <c r="P40" s="9" t="s">
        <v>43</v>
      </c>
    </row>
    <row r="41" customFormat="false" ht="15" hidden="false" customHeight="false" outlineLevel="0" collapsed="false">
      <c r="A41" s="1" t="s">
        <v>129</v>
      </c>
      <c r="B41" s="8" t="n">
        <v>45562</v>
      </c>
      <c r="C41" s="1" t="s">
        <v>33</v>
      </c>
      <c r="D41" s="9" t="s">
        <v>34</v>
      </c>
      <c r="E41" s="9" t="s">
        <v>80</v>
      </c>
      <c r="F41" s="1" t="s">
        <v>48</v>
      </c>
      <c r="G41" s="1" t="s">
        <v>57</v>
      </c>
      <c r="H41" s="1" t="n">
        <v>20</v>
      </c>
      <c r="I41" s="10" t="n">
        <v>51653</v>
      </c>
      <c r="J41" s="1" t="s">
        <v>58</v>
      </c>
      <c r="K41" s="1" t="s">
        <v>39</v>
      </c>
      <c r="L41" s="1" t="s">
        <v>51</v>
      </c>
      <c r="M41" s="1" t="s">
        <v>41</v>
      </c>
      <c r="N41" s="1" t="s">
        <v>42</v>
      </c>
      <c r="O41" s="1" t="n">
        <v>14</v>
      </c>
      <c r="P41" s="9" t="s">
        <v>43</v>
      </c>
    </row>
    <row r="42" customFormat="false" ht="15" hidden="false" customHeight="false" outlineLevel="0" collapsed="false">
      <c r="A42" s="1" t="s">
        <v>130</v>
      </c>
      <c r="B42" s="8" t="n">
        <v>45452</v>
      </c>
      <c r="C42" s="1" t="s">
        <v>71</v>
      </c>
      <c r="D42" s="9" t="s">
        <v>67</v>
      </c>
      <c r="E42" s="9" t="s">
        <v>80</v>
      </c>
      <c r="F42" s="1" t="s">
        <v>56</v>
      </c>
      <c r="G42" s="1" t="s">
        <v>99</v>
      </c>
      <c r="H42" s="1" t="n">
        <v>2</v>
      </c>
      <c r="I42" s="10" t="n">
        <v>60572</v>
      </c>
      <c r="J42" s="1" t="s">
        <v>125</v>
      </c>
      <c r="K42" s="1" t="s">
        <v>73</v>
      </c>
      <c r="L42" s="1" t="s">
        <v>74</v>
      </c>
      <c r="M42" s="1" t="s">
        <v>69</v>
      </c>
      <c r="N42" s="1" t="s">
        <v>42</v>
      </c>
      <c r="O42" s="1" t="n">
        <v>30</v>
      </c>
      <c r="P42" s="9" t="s">
        <v>43</v>
      </c>
    </row>
    <row r="43" customFormat="false" ht="15" hidden="false" customHeight="false" outlineLevel="0" collapsed="false">
      <c r="A43" s="1" t="s">
        <v>131</v>
      </c>
      <c r="B43" s="8" t="n">
        <v>45297</v>
      </c>
      <c r="C43" s="1" t="s">
        <v>76</v>
      </c>
      <c r="D43" s="9" t="s">
        <v>67</v>
      </c>
      <c r="E43" s="9" t="s">
        <v>47</v>
      </c>
      <c r="F43" s="1" t="s">
        <v>36</v>
      </c>
      <c r="G43" s="1" t="s">
        <v>57</v>
      </c>
      <c r="H43" s="1" t="n">
        <v>17</v>
      </c>
      <c r="I43" s="10" t="n">
        <v>62421</v>
      </c>
      <c r="J43" s="1" t="s">
        <v>119</v>
      </c>
      <c r="K43" s="1" t="s">
        <v>78</v>
      </c>
      <c r="L43" s="1" t="s">
        <v>40</v>
      </c>
      <c r="M43" s="1" t="s">
        <v>69</v>
      </c>
      <c r="N43" s="1" t="s">
        <v>42</v>
      </c>
      <c r="O43" s="1" t="n">
        <v>30</v>
      </c>
      <c r="P43" s="9" t="s">
        <v>43</v>
      </c>
    </row>
    <row r="44" customFormat="false" ht="15" hidden="false" customHeight="false" outlineLevel="0" collapsed="false">
      <c r="A44" s="1" t="s">
        <v>132</v>
      </c>
      <c r="B44" s="8" t="n">
        <v>45514</v>
      </c>
      <c r="C44" s="1" t="s">
        <v>76</v>
      </c>
      <c r="D44" s="9" t="s">
        <v>46</v>
      </c>
      <c r="E44" s="9" t="s">
        <v>35</v>
      </c>
      <c r="F44" s="1" t="s">
        <v>88</v>
      </c>
      <c r="G44" s="1" t="s">
        <v>99</v>
      </c>
      <c r="H44" s="1" t="n">
        <v>21</v>
      </c>
      <c r="I44" s="10" t="n">
        <v>31592</v>
      </c>
      <c r="J44" s="1" t="s">
        <v>77</v>
      </c>
      <c r="K44" s="1" t="s">
        <v>78</v>
      </c>
      <c r="L44" s="1" t="s">
        <v>74</v>
      </c>
      <c r="M44" s="1" t="s">
        <v>52</v>
      </c>
      <c r="N44" s="1" t="s">
        <v>42</v>
      </c>
      <c r="O44" s="1" t="n">
        <v>7</v>
      </c>
      <c r="P44" s="9" t="s">
        <v>43</v>
      </c>
    </row>
    <row r="45" customFormat="false" ht="15" hidden="false" customHeight="false" outlineLevel="0" collapsed="false">
      <c r="A45" s="1" t="s">
        <v>133</v>
      </c>
      <c r="B45" s="8" t="n">
        <v>45531</v>
      </c>
      <c r="C45" s="1" t="s">
        <v>84</v>
      </c>
      <c r="D45" s="9" t="s">
        <v>34</v>
      </c>
      <c r="E45" s="9" t="s">
        <v>35</v>
      </c>
      <c r="F45" s="1" t="s">
        <v>48</v>
      </c>
      <c r="G45" s="1" t="s">
        <v>37</v>
      </c>
      <c r="H45" s="1" t="n">
        <v>1</v>
      </c>
      <c r="I45" s="10" t="n">
        <v>19160</v>
      </c>
      <c r="J45" s="1" t="s">
        <v>109</v>
      </c>
      <c r="K45" s="1" t="s">
        <v>86</v>
      </c>
      <c r="L45" s="1" t="s">
        <v>51</v>
      </c>
      <c r="M45" s="1" t="s">
        <v>41</v>
      </c>
      <c r="N45" s="1" t="s">
        <v>53</v>
      </c>
      <c r="O45" s="1" t="n">
        <v>14</v>
      </c>
      <c r="P45" s="9" t="s">
        <v>43</v>
      </c>
    </row>
    <row r="46" customFormat="false" ht="15" hidden="false" customHeight="false" outlineLevel="0" collapsed="false">
      <c r="A46" s="1" t="s">
        <v>134</v>
      </c>
      <c r="B46" s="8" t="n">
        <v>45355</v>
      </c>
      <c r="C46" s="1" t="s">
        <v>71</v>
      </c>
      <c r="D46" s="9" t="s">
        <v>34</v>
      </c>
      <c r="E46" s="9" t="s">
        <v>55</v>
      </c>
      <c r="F46" s="1" t="s">
        <v>90</v>
      </c>
      <c r="G46" s="1" t="s">
        <v>60</v>
      </c>
      <c r="H46" s="1" t="n">
        <v>13</v>
      </c>
      <c r="I46" s="10" t="n">
        <v>63791</v>
      </c>
      <c r="J46" s="1" t="s">
        <v>125</v>
      </c>
      <c r="K46" s="1" t="s">
        <v>73</v>
      </c>
      <c r="L46" s="1" t="s">
        <v>74</v>
      </c>
      <c r="M46" s="1" t="s">
        <v>41</v>
      </c>
      <c r="N46" s="1" t="s">
        <v>42</v>
      </c>
      <c r="O46" s="1" t="n">
        <v>14</v>
      </c>
      <c r="P46" s="9" t="s">
        <v>42</v>
      </c>
    </row>
    <row r="47" customFormat="false" ht="15" hidden="false" customHeight="false" outlineLevel="0" collapsed="false">
      <c r="A47" s="1" t="s">
        <v>135</v>
      </c>
      <c r="B47" s="8" t="n">
        <v>45438</v>
      </c>
      <c r="C47" s="1" t="s">
        <v>33</v>
      </c>
      <c r="D47" s="9" t="s">
        <v>46</v>
      </c>
      <c r="E47" s="9" t="s">
        <v>55</v>
      </c>
      <c r="F47" s="1" t="s">
        <v>36</v>
      </c>
      <c r="G47" s="1" t="s">
        <v>60</v>
      </c>
      <c r="H47" s="1" t="n">
        <v>10</v>
      </c>
      <c r="I47" s="10" t="n">
        <v>38906</v>
      </c>
      <c r="J47" s="1" t="s">
        <v>58</v>
      </c>
      <c r="K47" s="1" t="s">
        <v>39</v>
      </c>
      <c r="L47" s="1" t="s">
        <v>69</v>
      </c>
      <c r="M47" s="1" t="s">
        <v>52</v>
      </c>
      <c r="N47" s="1" t="s">
        <v>42</v>
      </c>
      <c r="O47" s="1" t="n">
        <v>7</v>
      </c>
      <c r="P47" s="9" t="s">
        <v>53</v>
      </c>
    </row>
    <row r="48" customFormat="false" ht="15" hidden="false" customHeight="false" outlineLevel="0" collapsed="false">
      <c r="A48" s="1" t="s">
        <v>136</v>
      </c>
      <c r="B48" s="8" t="n">
        <v>45555</v>
      </c>
      <c r="C48" s="1" t="s">
        <v>84</v>
      </c>
      <c r="D48" s="9" t="s">
        <v>46</v>
      </c>
      <c r="E48" s="9" t="s">
        <v>80</v>
      </c>
      <c r="F48" s="1" t="s">
        <v>56</v>
      </c>
      <c r="G48" s="1" t="s">
        <v>60</v>
      </c>
      <c r="H48" s="1" t="n">
        <v>22</v>
      </c>
      <c r="I48" s="10" t="n">
        <v>14241</v>
      </c>
      <c r="J48" s="1" t="s">
        <v>85</v>
      </c>
      <c r="K48" s="1" t="s">
        <v>86</v>
      </c>
      <c r="L48" s="1" t="s">
        <v>137</v>
      </c>
      <c r="M48" s="1" t="s">
        <v>52</v>
      </c>
      <c r="N48" s="1" t="s">
        <v>53</v>
      </c>
      <c r="O48" s="1" t="n">
        <v>7</v>
      </c>
      <c r="P48" s="9" t="s">
        <v>43</v>
      </c>
    </row>
    <row r="49" customFormat="false" ht="15" hidden="false" customHeight="false" outlineLevel="0" collapsed="false">
      <c r="A49" s="1" t="s">
        <v>138</v>
      </c>
      <c r="B49" s="8" t="n">
        <v>45358</v>
      </c>
      <c r="C49" s="1" t="s">
        <v>62</v>
      </c>
      <c r="D49" s="9" t="s">
        <v>46</v>
      </c>
      <c r="E49" s="9" t="s">
        <v>55</v>
      </c>
      <c r="F49" s="1" t="s">
        <v>48</v>
      </c>
      <c r="G49" s="1" t="s">
        <v>57</v>
      </c>
      <c r="H49" s="1" t="n">
        <v>11</v>
      </c>
      <c r="I49" s="10" t="n">
        <v>32259</v>
      </c>
      <c r="J49" s="1" t="s">
        <v>63</v>
      </c>
      <c r="K49" s="1" t="s">
        <v>64</v>
      </c>
      <c r="L49" s="1" t="s">
        <v>74</v>
      </c>
      <c r="M49" s="1" t="s">
        <v>52</v>
      </c>
      <c r="N49" s="1" t="s">
        <v>42</v>
      </c>
      <c r="O49" s="1" t="n">
        <v>7</v>
      </c>
      <c r="P49" s="9" t="s">
        <v>53</v>
      </c>
    </row>
    <row r="50" customFormat="false" ht="15" hidden="false" customHeight="false" outlineLevel="0" collapsed="false">
      <c r="A50" s="1" t="s">
        <v>139</v>
      </c>
      <c r="B50" s="8" t="n">
        <v>45426</v>
      </c>
      <c r="C50" s="1" t="s">
        <v>33</v>
      </c>
      <c r="D50" s="9" t="s">
        <v>34</v>
      </c>
      <c r="E50" s="9" t="s">
        <v>55</v>
      </c>
      <c r="F50" s="1" t="s">
        <v>88</v>
      </c>
      <c r="G50" s="1" t="s">
        <v>60</v>
      </c>
      <c r="H50" s="1" t="n">
        <v>26</v>
      </c>
      <c r="I50" s="10" t="n">
        <v>43535</v>
      </c>
      <c r="J50" s="1" t="s">
        <v>38</v>
      </c>
      <c r="K50" s="1" t="s">
        <v>39</v>
      </c>
      <c r="L50" s="1" t="s">
        <v>74</v>
      </c>
      <c r="M50" s="1" t="s">
        <v>41</v>
      </c>
      <c r="N50" s="1" t="s">
        <v>42</v>
      </c>
      <c r="O50" s="1" t="n">
        <v>14</v>
      </c>
      <c r="P50" s="9" t="s">
        <v>53</v>
      </c>
    </row>
    <row r="51" customFormat="false" ht="15" hidden="false" customHeight="false" outlineLevel="0" collapsed="false">
      <c r="A51" s="1" t="s">
        <v>140</v>
      </c>
      <c r="B51" s="8" t="n">
        <v>45650</v>
      </c>
      <c r="C51" s="1" t="s">
        <v>84</v>
      </c>
      <c r="D51" s="9" t="s">
        <v>34</v>
      </c>
      <c r="E51" s="9" t="s">
        <v>55</v>
      </c>
      <c r="F51" s="1" t="s">
        <v>90</v>
      </c>
      <c r="G51" s="1" t="s">
        <v>37</v>
      </c>
      <c r="H51" s="1" t="n">
        <v>6</v>
      </c>
      <c r="I51" s="10" t="n">
        <v>61363</v>
      </c>
      <c r="J51" s="1" t="s">
        <v>109</v>
      </c>
      <c r="K51" s="1" t="s">
        <v>86</v>
      </c>
      <c r="L51" s="1" t="s">
        <v>74</v>
      </c>
      <c r="M51" s="1" t="s">
        <v>41</v>
      </c>
      <c r="N51" s="1" t="s">
        <v>42</v>
      </c>
      <c r="O51" s="1" t="n">
        <v>14</v>
      </c>
      <c r="P51" s="9" t="s">
        <v>42</v>
      </c>
    </row>
    <row r="52" customFormat="false" ht="15" hidden="false" customHeight="false" outlineLevel="0" collapsed="false">
      <c r="A52" s="1" t="s">
        <v>141</v>
      </c>
      <c r="B52" s="8" t="n">
        <v>45502</v>
      </c>
      <c r="C52" s="1" t="s">
        <v>71</v>
      </c>
      <c r="D52" s="9" t="s">
        <v>46</v>
      </c>
      <c r="E52" s="9" t="s">
        <v>35</v>
      </c>
      <c r="F52" s="1" t="s">
        <v>36</v>
      </c>
      <c r="G52" s="1" t="s">
        <v>99</v>
      </c>
      <c r="H52" s="1" t="n">
        <v>13</v>
      </c>
      <c r="I52" s="10" t="n">
        <v>58037</v>
      </c>
      <c r="J52" s="1" t="s">
        <v>82</v>
      </c>
      <c r="K52" s="1" t="s">
        <v>73</v>
      </c>
      <c r="L52" s="1" t="s">
        <v>40</v>
      </c>
      <c r="M52" s="1" t="s">
        <v>52</v>
      </c>
      <c r="N52" s="1" t="s">
        <v>42</v>
      </c>
      <c r="O52" s="1" t="n">
        <v>7</v>
      </c>
      <c r="P52" s="9" t="s">
        <v>43</v>
      </c>
    </row>
    <row r="53" customFormat="false" ht="15" hidden="false" customHeight="false" outlineLevel="0" collapsed="false">
      <c r="A53" s="1" t="s">
        <v>142</v>
      </c>
      <c r="B53" s="8" t="n">
        <v>45555</v>
      </c>
      <c r="C53" s="1" t="s">
        <v>76</v>
      </c>
      <c r="D53" s="9" t="s">
        <v>34</v>
      </c>
      <c r="E53" s="9" t="s">
        <v>55</v>
      </c>
      <c r="F53" s="1" t="s">
        <v>36</v>
      </c>
      <c r="G53" s="1" t="s">
        <v>99</v>
      </c>
      <c r="H53" s="1" t="n">
        <v>24</v>
      </c>
      <c r="I53" s="10" t="n">
        <v>36925</v>
      </c>
      <c r="J53" s="1" t="s">
        <v>77</v>
      </c>
      <c r="K53" s="1" t="s">
        <v>78</v>
      </c>
      <c r="L53" s="1" t="s">
        <v>40</v>
      </c>
      <c r="M53" s="1" t="s">
        <v>41</v>
      </c>
      <c r="N53" s="1" t="s">
        <v>42</v>
      </c>
      <c r="O53" s="1" t="n">
        <v>14</v>
      </c>
      <c r="P53" s="9" t="s">
        <v>53</v>
      </c>
    </row>
    <row r="54" customFormat="false" ht="15" hidden="false" customHeight="false" outlineLevel="0" collapsed="false">
      <c r="A54" s="1" t="s">
        <v>143</v>
      </c>
      <c r="B54" s="8" t="n">
        <v>45442</v>
      </c>
      <c r="C54" s="1" t="s">
        <v>71</v>
      </c>
      <c r="D54" s="9" t="s">
        <v>46</v>
      </c>
      <c r="E54" s="9" t="s">
        <v>55</v>
      </c>
      <c r="F54" s="1" t="s">
        <v>88</v>
      </c>
      <c r="G54" s="1" t="s">
        <v>99</v>
      </c>
      <c r="H54" s="1" t="n">
        <v>16</v>
      </c>
      <c r="I54" s="10" t="n">
        <v>66518</v>
      </c>
      <c r="J54" s="1" t="s">
        <v>72</v>
      </c>
      <c r="K54" s="1" t="s">
        <v>73</v>
      </c>
      <c r="L54" s="1" t="s">
        <v>51</v>
      </c>
      <c r="M54" s="1" t="s">
        <v>52</v>
      </c>
      <c r="N54" s="1" t="s">
        <v>42</v>
      </c>
      <c r="O54" s="1" t="n">
        <v>7</v>
      </c>
      <c r="P54" s="9" t="s">
        <v>53</v>
      </c>
    </row>
    <row r="55" customFormat="false" ht="15" hidden="false" customHeight="false" outlineLevel="0" collapsed="false">
      <c r="A55" s="1" t="s">
        <v>144</v>
      </c>
      <c r="B55" s="8" t="n">
        <v>45349</v>
      </c>
      <c r="C55" s="1" t="s">
        <v>71</v>
      </c>
      <c r="D55" s="9" t="s">
        <v>67</v>
      </c>
      <c r="E55" s="9" t="s">
        <v>55</v>
      </c>
      <c r="F55" s="1" t="s">
        <v>48</v>
      </c>
      <c r="G55" s="1" t="s">
        <v>99</v>
      </c>
      <c r="H55" s="1" t="n">
        <v>8</v>
      </c>
      <c r="I55" s="10" t="n">
        <v>64723</v>
      </c>
      <c r="J55" s="1" t="s">
        <v>82</v>
      </c>
      <c r="K55" s="1" t="s">
        <v>73</v>
      </c>
      <c r="L55" s="1" t="s">
        <v>65</v>
      </c>
      <c r="M55" s="1" t="s">
        <v>69</v>
      </c>
      <c r="N55" s="1" t="s">
        <v>42</v>
      </c>
      <c r="O55" s="1" t="n">
        <v>30</v>
      </c>
      <c r="P55" s="9" t="s">
        <v>42</v>
      </c>
    </row>
    <row r="56" customFormat="false" ht="15" hidden="false" customHeight="false" outlineLevel="0" collapsed="false">
      <c r="A56" s="1" t="s">
        <v>145</v>
      </c>
      <c r="B56" s="8" t="n">
        <v>45479</v>
      </c>
      <c r="C56" s="1" t="s">
        <v>84</v>
      </c>
      <c r="D56" s="9" t="s">
        <v>34</v>
      </c>
      <c r="E56" s="9" t="s">
        <v>55</v>
      </c>
      <c r="F56" s="1" t="s">
        <v>56</v>
      </c>
      <c r="G56" s="1" t="s">
        <v>99</v>
      </c>
      <c r="H56" s="1" t="n">
        <v>29</v>
      </c>
      <c r="I56" s="10" t="n">
        <v>33107</v>
      </c>
      <c r="J56" s="1" t="s">
        <v>95</v>
      </c>
      <c r="K56" s="1" t="s">
        <v>86</v>
      </c>
      <c r="L56" s="1" t="s">
        <v>51</v>
      </c>
      <c r="M56" s="1" t="s">
        <v>41</v>
      </c>
      <c r="N56" s="1" t="s">
        <v>42</v>
      </c>
      <c r="O56" s="1" t="n">
        <v>14</v>
      </c>
      <c r="P56" s="9" t="s">
        <v>53</v>
      </c>
    </row>
    <row r="57" customFormat="false" ht="15" hidden="false" customHeight="false" outlineLevel="0" collapsed="false">
      <c r="A57" s="1" t="s">
        <v>146</v>
      </c>
      <c r="B57" s="8" t="n">
        <v>45503</v>
      </c>
      <c r="C57" s="1" t="s">
        <v>76</v>
      </c>
      <c r="D57" s="9" t="s">
        <v>34</v>
      </c>
      <c r="E57" s="9" t="s">
        <v>55</v>
      </c>
      <c r="F57" s="1" t="s">
        <v>36</v>
      </c>
      <c r="G57" s="1" t="s">
        <v>99</v>
      </c>
      <c r="H57" s="1" t="n">
        <v>10</v>
      </c>
      <c r="I57" s="10" t="n">
        <v>59794</v>
      </c>
      <c r="J57" s="1" t="s">
        <v>77</v>
      </c>
      <c r="K57" s="1" t="s">
        <v>78</v>
      </c>
      <c r="L57" s="1" t="s">
        <v>51</v>
      </c>
      <c r="M57" s="1" t="s">
        <v>41</v>
      </c>
      <c r="N57" s="1" t="s">
        <v>42</v>
      </c>
      <c r="O57" s="1" t="n">
        <v>14</v>
      </c>
      <c r="P57" s="9" t="s">
        <v>42</v>
      </c>
    </row>
    <row r="58" customFormat="false" ht="15" hidden="false" customHeight="false" outlineLevel="0" collapsed="false">
      <c r="A58" s="1" t="s">
        <v>147</v>
      </c>
      <c r="B58" s="8" t="n">
        <v>45513</v>
      </c>
      <c r="C58" s="1" t="s">
        <v>71</v>
      </c>
      <c r="D58" s="9" t="s">
        <v>67</v>
      </c>
      <c r="E58" s="9" t="s">
        <v>55</v>
      </c>
      <c r="F58" s="1" t="s">
        <v>88</v>
      </c>
      <c r="G58" s="1" t="s">
        <v>60</v>
      </c>
      <c r="H58" s="1" t="n">
        <v>14</v>
      </c>
      <c r="I58" s="10" t="n">
        <v>55551</v>
      </c>
      <c r="J58" s="1" t="s">
        <v>72</v>
      </c>
      <c r="K58" s="1" t="s">
        <v>73</v>
      </c>
      <c r="L58" s="1" t="s">
        <v>40</v>
      </c>
      <c r="M58" s="1" t="s">
        <v>69</v>
      </c>
      <c r="N58" s="1" t="s">
        <v>42</v>
      </c>
      <c r="O58" s="1" t="n">
        <v>30</v>
      </c>
      <c r="P58" s="9" t="s">
        <v>42</v>
      </c>
    </row>
    <row r="59" customFormat="false" ht="15" hidden="false" customHeight="false" outlineLevel="0" collapsed="false">
      <c r="A59" s="1" t="s">
        <v>148</v>
      </c>
      <c r="B59" s="8" t="n">
        <v>45641</v>
      </c>
      <c r="C59" s="1" t="s">
        <v>45</v>
      </c>
      <c r="D59" s="9" t="s">
        <v>46</v>
      </c>
      <c r="E59" s="9" t="s">
        <v>55</v>
      </c>
      <c r="F59" s="1" t="s">
        <v>88</v>
      </c>
      <c r="G59" s="1" t="s">
        <v>60</v>
      </c>
      <c r="H59" s="1" t="n">
        <v>21</v>
      </c>
      <c r="I59" s="10" t="n">
        <v>64205</v>
      </c>
      <c r="J59" s="1" t="s">
        <v>49</v>
      </c>
      <c r="K59" s="1" t="s">
        <v>50</v>
      </c>
      <c r="L59" s="1" t="s">
        <v>74</v>
      </c>
      <c r="M59" s="1" t="s">
        <v>52</v>
      </c>
      <c r="N59" s="1" t="s">
        <v>53</v>
      </c>
      <c r="O59" s="1" t="n">
        <v>7</v>
      </c>
      <c r="P59" s="9" t="s">
        <v>53</v>
      </c>
    </row>
    <row r="60" customFormat="false" ht="15" hidden="false" customHeight="false" outlineLevel="0" collapsed="false">
      <c r="A60" s="1" t="s">
        <v>149</v>
      </c>
      <c r="B60" s="8" t="n">
        <v>45307</v>
      </c>
      <c r="C60" s="1" t="s">
        <v>71</v>
      </c>
      <c r="D60" s="9" t="s">
        <v>105</v>
      </c>
      <c r="E60" s="9" t="s">
        <v>55</v>
      </c>
      <c r="F60" s="1" t="s">
        <v>36</v>
      </c>
      <c r="G60" s="1" t="s">
        <v>99</v>
      </c>
      <c r="H60" s="1" t="n">
        <v>27</v>
      </c>
      <c r="I60" s="10" t="n">
        <v>2841</v>
      </c>
      <c r="J60" s="1" t="s">
        <v>82</v>
      </c>
      <c r="K60" s="1" t="s">
        <v>73</v>
      </c>
      <c r="L60" s="1" t="s">
        <v>40</v>
      </c>
      <c r="M60" s="1" t="s">
        <v>106</v>
      </c>
      <c r="N60" s="1" t="s">
        <v>42</v>
      </c>
      <c r="O60" s="1" t="n">
        <v>3</v>
      </c>
      <c r="P60" s="9" t="s">
        <v>53</v>
      </c>
    </row>
    <row r="61" customFormat="false" ht="15" hidden="false" customHeight="false" outlineLevel="0" collapsed="false">
      <c r="A61" s="1" t="s">
        <v>150</v>
      </c>
      <c r="B61" s="8" t="n">
        <v>45638</v>
      </c>
      <c r="C61" s="1" t="s">
        <v>45</v>
      </c>
      <c r="D61" s="9" t="s">
        <v>105</v>
      </c>
      <c r="E61" s="9" t="s">
        <v>55</v>
      </c>
      <c r="F61" s="1" t="s">
        <v>88</v>
      </c>
      <c r="G61" s="1" t="s">
        <v>57</v>
      </c>
      <c r="H61" s="1" t="n">
        <v>24</v>
      </c>
      <c r="I61" s="10" t="n">
        <v>47804</v>
      </c>
      <c r="J61" s="1" t="s">
        <v>115</v>
      </c>
      <c r="K61" s="1" t="s">
        <v>50</v>
      </c>
      <c r="L61" s="1" t="s">
        <v>40</v>
      </c>
      <c r="M61" s="1" t="s">
        <v>106</v>
      </c>
      <c r="N61" s="1" t="s">
        <v>42</v>
      </c>
      <c r="O61" s="1" t="n">
        <v>3</v>
      </c>
      <c r="P61" s="9" t="s">
        <v>53</v>
      </c>
    </row>
    <row r="62" customFormat="false" ht="15" hidden="false" customHeight="false" outlineLevel="0" collapsed="false">
      <c r="A62" s="1" t="s">
        <v>151</v>
      </c>
      <c r="B62" s="8" t="n">
        <v>45403</v>
      </c>
      <c r="C62" s="1" t="s">
        <v>33</v>
      </c>
      <c r="D62" s="9" t="s">
        <v>34</v>
      </c>
      <c r="E62" s="9" t="s">
        <v>35</v>
      </c>
      <c r="F62" s="1" t="s">
        <v>88</v>
      </c>
      <c r="G62" s="1" t="s">
        <v>57</v>
      </c>
      <c r="H62" s="1" t="n">
        <v>13</v>
      </c>
      <c r="I62" s="10" t="n">
        <v>73853</v>
      </c>
      <c r="J62" s="1" t="s">
        <v>38</v>
      </c>
      <c r="K62" s="1" t="s">
        <v>39</v>
      </c>
      <c r="L62" s="1" t="s">
        <v>51</v>
      </c>
      <c r="M62" s="1" t="s">
        <v>41</v>
      </c>
      <c r="N62" s="1" t="s">
        <v>42</v>
      </c>
      <c r="O62" s="1" t="n">
        <v>14</v>
      </c>
      <c r="P62" s="9" t="s">
        <v>43</v>
      </c>
    </row>
    <row r="63" customFormat="false" ht="15" hidden="false" customHeight="false" outlineLevel="0" collapsed="false">
      <c r="A63" s="1" t="s">
        <v>152</v>
      </c>
      <c r="B63" s="8" t="n">
        <v>45500</v>
      </c>
      <c r="C63" s="1" t="s">
        <v>84</v>
      </c>
      <c r="D63" s="9" t="s">
        <v>46</v>
      </c>
      <c r="E63" s="9" t="s">
        <v>55</v>
      </c>
      <c r="F63" s="1" t="s">
        <v>88</v>
      </c>
      <c r="G63" s="1" t="s">
        <v>37</v>
      </c>
      <c r="H63" s="1" t="n">
        <v>7</v>
      </c>
      <c r="I63" s="10" t="n">
        <v>89412</v>
      </c>
      <c r="J63" s="1" t="s">
        <v>109</v>
      </c>
      <c r="K63" s="1" t="s">
        <v>86</v>
      </c>
      <c r="L63" s="1" t="s">
        <v>40</v>
      </c>
      <c r="M63" s="1" t="s">
        <v>52</v>
      </c>
      <c r="N63" s="1" t="s">
        <v>53</v>
      </c>
      <c r="O63" s="1" t="n">
        <v>7</v>
      </c>
      <c r="P63" s="9" t="s">
        <v>42</v>
      </c>
    </row>
    <row r="64" customFormat="false" ht="15" hidden="false" customHeight="false" outlineLevel="0" collapsed="false">
      <c r="A64" s="1" t="s">
        <v>153</v>
      </c>
      <c r="B64" s="8" t="n">
        <v>45362</v>
      </c>
      <c r="C64" s="1" t="s">
        <v>76</v>
      </c>
      <c r="D64" s="9" t="s">
        <v>46</v>
      </c>
      <c r="E64" s="9" t="s">
        <v>80</v>
      </c>
      <c r="F64" s="1" t="s">
        <v>36</v>
      </c>
      <c r="G64" s="1" t="s">
        <v>60</v>
      </c>
      <c r="H64" s="1" t="n">
        <v>3</v>
      </c>
      <c r="I64" s="10" t="n">
        <v>87564</v>
      </c>
      <c r="J64" s="1" t="s">
        <v>77</v>
      </c>
      <c r="K64" s="1" t="s">
        <v>78</v>
      </c>
      <c r="L64" s="1" t="s">
        <v>69</v>
      </c>
      <c r="M64" s="1" t="s">
        <v>52</v>
      </c>
      <c r="N64" s="1" t="s">
        <v>42</v>
      </c>
      <c r="O64" s="1" t="n">
        <v>7</v>
      </c>
      <c r="P64" s="9" t="s">
        <v>43</v>
      </c>
    </row>
    <row r="65" customFormat="false" ht="15" hidden="false" customHeight="false" outlineLevel="0" collapsed="false">
      <c r="A65" s="1" t="s">
        <v>154</v>
      </c>
      <c r="B65" s="8" t="n">
        <v>45387</v>
      </c>
      <c r="C65" s="1" t="s">
        <v>62</v>
      </c>
      <c r="D65" s="9" t="s">
        <v>34</v>
      </c>
      <c r="E65" s="9" t="s">
        <v>80</v>
      </c>
      <c r="F65" s="1" t="s">
        <v>48</v>
      </c>
      <c r="G65" s="1" t="s">
        <v>37</v>
      </c>
      <c r="H65" s="1" t="n">
        <v>28</v>
      </c>
      <c r="I65" s="10" t="n">
        <v>60687</v>
      </c>
      <c r="J65" s="1" t="s">
        <v>127</v>
      </c>
      <c r="K65" s="1" t="s">
        <v>64</v>
      </c>
      <c r="L65" s="1" t="s">
        <v>65</v>
      </c>
      <c r="M65" s="1" t="s">
        <v>41</v>
      </c>
      <c r="N65" s="1" t="s">
        <v>53</v>
      </c>
      <c r="O65" s="1" t="n">
        <v>14</v>
      </c>
      <c r="P65" s="9" t="s">
        <v>43</v>
      </c>
    </row>
    <row r="66" customFormat="false" ht="15" hidden="false" customHeight="false" outlineLevel="0" collapsed="false">
      <c r="A66" s="1" t="s">
        <v>155</v>
      </c>
      <c r="B66" s="8" t="n">
        <v>45584</v>
      </c>
      <c r="C66" s="1" t="s">
        <v>76</v>
      </c>
      <c r="D66" s="9" t="s">
        <v>105</v>
      </c>
      <c r="E66" s="9" t="s">
        <v>55</v>
      </c>
      <c r="F66" s="1" t="s">
        <v>48</v>
      </c>
      <c r="G66" s="1" t="s">
        <v>37</v>
      </c>
      <c r="H66" s="1" t="n">
        <v>1</v>
      </c>
      <c r="I66" s="10" t="n">
        <v>74698</v>
      </c>
      <c r="J66" s="1" t="s">
        <v>119</v>
      </c>
      <c r="K66" s="1" t="s">
        <v>78</v>
      </c>
      <c r="L66" s="1" t="s">
        <v>65</v>
      </c>
      <c r="M66" s="1" t="s">
        <v>106</v>
      </c>
      <c r="N66" s="1" t="s">
        <v>42</v>
      </c>
      <c r="O66" s="1" t="n">
        <v>3</v>
      </c>
      <c r="P66" s="9" t="s">
        <v>42</v>
      </c>
    </row>
    <row r="67" customFormat="false" ht="15" hidden="false" customHeight="false" outlineLevel="0" collapsed="false">
      <c r="A67" s="1" t="s">
        <v>156</v>
      </c>
      <c r="B67" s="8" t="n">
        <v>45575</v>
      </c>
      <c r="C67" s="1" t="s">
        <v>71</v>
      </c>
      <c r="D67" s="9" t="s">
        <v>46</v>
      </c>
      <c r="E67" s="9" t="s">
        <v>55</v>
      </c>
      <c r="F67" s="1" t="s">
        <v>90</v>
      </c>
      <c r="G67" s="1" t="s">
        <v>57</v>
      </c>
      <c r="H67" s="1" t="n">
        <v>1</v>
      </c>
      <c r="I67" s="10" t="n">
        <v>29064</v>
      </c>
      <c r="J67" s="1" t="s">
        <v>72</v>
      </c>
      <c r="K67" s="1" t="s">
        <v>73</v>
      </c>
      <c r="L67" s="1" t="s">
        <v>91</v>
      </c>
      <c r="M67" s="1" t="s">
        <v>52</v>
      </c>
      <c r="N67" s="1" t="s">
        <v>42</v>
      </c>
      <c r="O67" s="1" t="n">
        <v>7</v>
      </c>
      <c r="P67" s="9" t="s">
        <v>42</v>
      </c>
    </row>
    <row r="68" customFormat="false" ht="15" hidden="false" customHeight="false" outlineLevel="0" collapsed="false">
      <c r="A68" s="1" t="s">
        <v>157</v>
      </c>
      <c r="B68" s="8" t="n">
        <v>45602</v>
      </c>
      <c r="C68" s="1" t="s">
        <v>62</v>
      </c>
      <c r="D68" s="9" t="s">
        <v>46</v>
      </c>
      <c r="E68" s="9" t="s">
        <v>55</v>
      </c>
      <c r="F68" s="1" t="s">
        <v>88</v>
      </c>
      <c r="G68" s="1" t="s">
        <v>99</v>
      </c>
      <c r="H68" s="1" t="n">
        <v>14</v>
      </c>
      <c r="I68" s="10" t="n">
        <v>86825</v>
      </c>
      <c r="J68" s="1" t="s">
        <v>127</v>
      </c>
      <c r="K68" s="1" t="s">
        <v>64</v>
      </c>
      <c r="L68" s="1" t="s">
        <v>40</v>
      </c>
      <c r="M68" s="1" t="s">
        <v>52</v>
      </c>
      <c r="N68" s="1" t="s">
        <v>42</v>
      </c>
      <c r="O68" s="1" t="n">
        <v>7</v>
      </c>
      <c r="P68" s="9" t="s">
        <v>53</v>
      </c>
    </row>
    <row r="69" customFormat="false" ht="15" hidden="false" customHeight="false" outlineLevel="0" collapsed="false">
      <c r="A69" s="1" t="s">
        <v>158</v>
      </c>
      <c r="B69" s="8" t="n">
        <v>45634</v>
      </c>
      <c r="C69" s="1" t="s">
        <v>76</v>
      </c>
      <c r="D69" s="9" t="s">
        <v>34</v>
      </c>
      <c r="E69" s="9" t="s">
        <v>55</v>
      </c>
      <c r="F69" s="1" t="s">
        <v>36</v>
      </c>
      <c r="G69" s="1" t="s">
        <v>37</v>
      </c>
      <c r="H69" s="1" t="n">
        <v>19</v>
      </c>
      <c r="I69" s="10" t="n">
        <v>97273</v>
      </c>
      <c r="J69" s="1" t="s">
        <v>93</v>
      </c>
      <c r="K69" s="1" t="s">
        <v>78</v>
      </c>
      <c r="L69" s="1" t="s">
        <v>51</v>
      </c>
      <c r="M69" s="1" t="s">
        <v>41</v>
      </c>
      <c r="N69" s="1" t="s">
        <v>42</v>
      </c>
      <c r="O69" s="1" t="n">
        <v>14</v>
      </c>
      <c r="P69" s="9" t="s">
        <v>53</v>
      </c>
    </row>
    <row r="70" customFormat="false" ht="15" hidden="false" customHeight="false" outlineLevel="0" collapsed="false">
      <c r="A70" s="1" t="s">
        <v>159</v>
      </c>
      <c r="B70" s="8" t="n">
        <v>45508</v>
      </c>
      <c r="C70" s="1" t="s">
        <v>76</v>
      </c>
      <c r="D70" s="9" t="s">
        <v>34</v>
      </c>
      <c r="E70" s="9" t="s">
        <v>80</v>
      </c>
      <c r="F70" s="1" t="s">
        <v>90</v>
      </c>
      <c r="G70" s="1" t="s">
        <v>37</v>
      </c>
      <c r="H70" s="1" t="n">
        <v>24</v>
      </c>
      <c r="I70" s="10" t="n">
        <v>56386</v>
      </c>
      <c r="J70" s="1" t="s">
        <v>93</v>
      </c>
      <c r="K70" s="1" t="s">
        <v>78</v>
      </c>
      <c r="L70" s="1" t="s">
        <v>91</v>
      </c>
      <c r="M70" s="1" t="s">
        <v>41</v>
      </c>
      <c r="N70" s="1" t="s">
        <v>42</v>
      </c>
      <c r="O70" s="1" t="n">
        <v>14</v>
      </c>
      <c r="P70" s="9" t="s">
        <v>43</v>
      </c>
    </row>
    <row r="71" customFormat="false" ht="15" hidden="false" customHeight="false" outlineLevel="0" collapsed="false">
      <c r="A71" s="1" t="s">
        <v>160</v>
      </c>
      <c r="B71" s="8" t="n">
        <v>45455</v>
      </c>
      <c r="C71" s="1" t="s">
        <v>33</v>
      </c>
      <c r="D71" s="9" t="s">
        <v>46</v>
      </c>
      <c r="E71" s="9" t="s">
        <v>35</v>
      </c>
      <c r="F71" s="1" t="s">
        <v>48</v>
      </c>
      <c r="G71" s="1" t="s">
        <v>37</v>
      </c>
      <c r="H71" s="1" t="n">
        <v>24</v>
      </c>
      <c r="I71" s="10" t="n">
        <v>28873</v>
      </c>
      <c r="J71" s="1" t="s">
        <v>102</v>
      </c>
      <c r="K71" s="1" t="s">
        <v>39</v>
      </c>
      <c r="L71" s="1" t="s">
        <v>65</v>
      </c>
      <c r="M71" s="1" t="s">
        <v>52</v>
      </c>
      <c r="N71" s="1" t="s">
        <v>42</v>
      </c>
      <c r="O71" s="1" t="n">
        <v>7</v>
      </c>
      <c r="P71" s="9" t="s">
        <v>43</v>
      </c>
    </row>
    <row r="72" customFormat="false" ht="15" hidden="false" customHeight="false" outlineLevel="0" collapsed="false">
      <c r="A72" s="1" t="s">
        <v>161</v>
      </c>
      <c r="B72" s="8" t="n">
        <v>45655</v>
      </c>
      <c r="C72" s="1" t="s">
        <v>62</v>
      </c>
      <c r="D72" s="9" t="s">
        <v>67</v>
      </c>
      <c r="E72" s="9" t="s">
        <v>47</v>
      </c>
      <c r="F72" s="1" t="s">
        <v>48</v>
      </c>
      <c r="G72" s="1" t="s">
        <v>57</v>
      </c>
      <c r="H72" s="1" t="n">
        <v>11</v>
      </c>
      <c r="I72" s="10" t="n">
        <v>19360</v>
      </c>
      <c r="J72" s="1" t="s">
        <v>63</v>
      </c>
      <c r="K72" s="1" t="s">
        <v>64</v>
      </c>
      <c r="L72" s="1" t="s">
        <v>51</v>
      </c>
      <c r="M72" s="1" t="s">
        <v>69</v>
      </c>
      <c r="N72" s="1" t="s">
        <v>42</v>
      </c>
      <c r="O72" s="1" t="n">
        <v>30</v>
      </c>
      <c r="P72" s="9" t="s">
        <v>43</v>
      </c>
    </row>
    <row r="73" customFormat="false" ht="15" hidden="false" customHeight="false" outlineLevel="0" collapsed="false">
      <c r="A73" s="1" t="s">
        <v>162</v>
      </c>
      <c r="B73" s="8" t="n">
        <v>45563</v>
      </c>
      <c r="C73" s="1" t="s">
        <v>33</v>
      </c>
      <c r="D73" s="9" t="s">
        <v>34</v>
      </c>
      <c r="E73" s="9" t="s">
        <v>80</v>
      </c>
      <c r="F73" s="1" t="s">
        <v>88</v>
      </c>
      <c r="G73" s="1" t="s">
        <v>57</v>
      </c>
      <c r="H73" s="1" t="n">
        <v>26</v>
      </c>
      <c r="I73" s="10" t="n">
        <v>72918</v>
      </c>
      <c r="J73" s="1" t="s">
        <v>38</v>
      </c>
      <c r="K73" s="1" t="s">
        <v>39</v>
      </c>
      <c r="L73" s="1" t="s">
        <v>40</v>
      </c>
      <c r="M73" s="1" t="s">
        <v>41</v>
      </c>
      <c r="N73" s="1" t="s">
        <v>42</v>
      </c>
      <c r="O73" s="1" t="n">
        <v>14</v>
      </c>
      <c r="P73" s="9" t="s">
        <v>43</v>
      </c>
    </row>
    <row r="74" customFormat="false" ht="15" hidden="false" customHeight="false" outlineLevel="0" collapsed="false">
      <c r="A74" s="1" t="s">
        <v>163</v>
      </c>
      <c r="B74" s="8" t="n">
        <v>45631</v>
      </c>
      <c r="C74" s="1" t="s">
        <v>71</v>
      </c>
      <c r="D74" s="9" t="s">
        <v>105</v>
      </c>
      <c r="E74" s="9" t="s">
        <v>55</v>
      </c>
      <c r="F74" s="1" t="s">
        <v>88</v>
      </c>
      <c r="G74" s="1" t="s">
        <v>37</v>
      </c>
      <c r="H74" s="1" t="n">
        <v>2</v>
      </c>
      <c r="I74" s="10" t="n">
        <v>79748</v>
      </c>
      <c r="J74" s="1" t="s">
        <v>82</v>
      </c>
      <c r="K74" s="1" t="s">
        <v>73</v>
      </c>
      <c r="L74" s="1" t="s">
        <v>74</v>
      </c>
      <c r="M74" s="1" t="s">
        <v>106</v>
      </c>
      <c r="N74" s="1" t="s">
        <v>42</v>
      </c>
      <c r="O74" s="1" t="n">
        <v>3</v>
      </c>
      <c r="P74" s="9" t="s">
        <v>42</v>
      </c>
    </row>
    <row r="75" customFormat="false" ht="15" hidden="false" customHeight="false" outlineLevel="0" collapsed="false">
      <c r="A75" s="1" t="s">
        <v>164</v>
      </c>
      <c r="B75" s="8" t="n">
        <v>45493</v>
      </c>
      <c r="C75" s="1" t="s">
        <v>45</v>
      </c>
      <c r="D75" s="9" t="s">
        <v>34</v>
      </c>
      <c r="E75" s="9" t="s">
        <v>47</v>
      </c>
      <c r="F75" s="1" t="s">
        <v>90</v>
      </c>
      <c r="G75" s="1" t="s">
        <v>99</v>
      </c>
      <c r="H75" s="1" t="n">
        <v>16</v>
      </c>
      <c r="I75" s="10" t="n">
        <v>79882</v>
      </c>
      <c r="J75" s="1" t="s">
        <v>115</v>
      </c>
      <c r="K75" s="1" t="s">
        <v>50</v>
      </c>
      <c r="L75" s="1" t="s">
        <v>91</v>
      </c>
      <c r="M75" s="1" t="s">
        <v>41</v>
      </c>
      <c r="N75" s="1" t="s">
        <v>42</v>
      </c>
      <c r="O75" s="1" t="n">
        <v>14</v>
      </c>
      <c r="P75" s="9" t="s">
        <v>43</v>
      </c>
    </row>
    <row r="76" customFormat="false" ht="15" hidden="false" customHeight="false" outlineLevel="0" collapsed="false">
      <c r="A76" s="1" t="s">
        <v>165</v>
      </c>
      <c r="B76" s="8" t="n">
        <v>45563</v>
      </c>
      <c r="C76" s="1" t="s">
        <v>62</v>
      </c>
      <c r="D76" s="9" t="s">
        <v>46</v>
      </c>
      <c r="E76" s="9" t="s">
        <v>35</v>
      </c>
      <c r="F76" s="1" t="s">
        <v>90</v>
      </c>
      <c r="G76" s="1" t="s">
        <v>37</v>
      </c>
      <c r="H76" s="1" t="n">
        <v>8</v>
      </c>
      <c r="I76" s="10" t="n">
        <v>82747</v>
      </c>
      <c r="J76" s="1" t="s">
        <v>127</v>
      </c>
      <c r="K76" s="1" t="s">
        <v>64</v>
      </c>
      <c r="L76" s="1" t="s">
        <v>91</v>
      </c>
      <c r="M76" s="1" t="s">
        <v>52</v>
      </c>
      <c r="N76" s="1" t="s">
        <v>53</v>
      </c>
      <c r="O76" s="1" t="n">
        <v>7</v>
      </c>
      <c r="P76" s="9" t="s">
        <v>43</v>
      </c>
    </row>
    <row r="77" customFormat="false" ht="15" hidden="false" customHeight="false" outlineLevel="0" collapsed="false">
      <c r="A77" s="1" t="s">
        <v>166</v>
      </c>
      <c r="B77" s="8" t="n">
        <v>45459</v>
      </c>
      <c r="C77" s="1" t="s">
        <v>33</v>
      </c>
      <c r="D77" s="9" t="s">
        <v>67</v>
      </c>
      <c r="E77" s="9" t="s">
        <v>47</v>
      </c>
      <c r="F77" s="1" t="s">
        <v>56</v>
      </c>
      <c r="G77" s="1" t="s">
        <v>60</v>
      </c>
      <c r="H77" s="1" t="n">
        <v>22</v>
      </c>
      <c r="I77" s="10" t="n">
        <v>21997</v>
      </c>
      <c r="J77" s="1" t="s">
        <v>58</v>
      </c>
      <c r="K77" s="1" t="s">
        <v>39</v>
      </c>
      <c r="L77" s="1" t="s">
        <v>51</v>
      </c>
      <c r="M77" s="1" t="s">
        <v>69</v>
      </c>
      <c r="N77" s="1" t="s">
        <v>42</v>
      </c>
      <c r="O77" s="1" t="n">
        <v>30</v>
      </c>
      <c r="P77" s="9" t="s">
        <v>43</v>
      </c>
    </row>
    <row r="78" customFormat="false" ht="15" hidden="false" customHeight="false" outlineLevel="0" collapsed="false">
      <c r="A78" s="1" t="s">
        <v>167</v>
      </c>
      <c r="B78" s="8" t="n">
        <v>45328</v>
      </c>
      <c r="C78" s="1" t="s">
        <v>71</v>
      </c>
      <c r="D78" s="9" t="s">
        <v>34</v>
      </c>
      <c r="E78" s="9" t="s">
        <v>35</v>
      </c>
      <c r="F78" s="1" t="s">
        <v>48</v>
      </c>
      <c r="G78" s="1" t="s">
        <v>37</v>
      </c>
      <c r="H78" s="1" t="n">
        <v>23</v>
      </c>
      <c r="I78" s="10" t="n">
        <v>75261</v>
      </c>
      <c r="J78" s="1" t="s">
        <v>125</v>
      </c>
      <c r="K78" s="1" t="s">
        <v>73</v>
      </c>
      <c r="L78" s="1" t="s">
        <v>51</v>
      </c>
      <c r="M78" s="1" t="s">
        <v>41</v>
      </c>
      <c r="N78" s="1" t="s">
        <v>42</v>
      </c>
      <c r="O78" s="1" t="n">
        <v>14</v>
      </c>
      <c r="P78" s="9" t="s">
        <v>43</v>
      </c>
    </row>
    <row r="79" customFormat="false" ht="15" hidden="false" customHeight="false" outlineLevel="0" collapsed="false">
      <c r="A79" s="1" t="s">
        <v>168</v>
      </c>
      <c r="B79" s="8" t="n">
        <v>45297</v>
      </c>
      <c r="C79" s="1" t="s">
        <v>45</v>
      </c>
      <c r="D79" s="9" t="s">
        <v>34</v>
      </c>
      <c r="E79" s="9" t="s">
        <v>35</v>
      </c>
      <c r="F79" s="1" t="s">
        <v>48</v>
      </c>
      <c r="G79" s="1" t="s">
        <v>57</v>
      </c>
      <c r="H79" s="1" t="n">
        <v>22</v>
      </c>
      <c r="I79" s="10" t="n">
        <v>73401</v>
      </c>
      <c r="J79" s="1" t="s">
        <v>115</v>
      </c>
      <c r="K79" s="1" t="s">
        <v>50</v>
      </c>
      <c r="L79" s="1" t="s">
        <v>74</v>
      </c>
      <c r="M79" s="1" t="s">
        <v>41</v>
      </c>
      <c r="N79" s="1" t="s">
        <v>42</v>
      </c>
      <c r="O79" s="1" t="n">
        <v>14</v>
      </c>
      <c r="P79" s="9" t="s">
        <v>43</v>
      </c>
    </row>
    <row r="80" customFormat="false" ht="15" hidden="false" customHeight="false" outlineLevel="0" collapsed="false">
      <c r="A80" s="1" t="s">
        <v>169</v>
      </c>
      <c r="B80" s="8" t="n">
        <v>45649</v>
      </c>
      <c r="C80" s="1" t="s">
        <v>45</v>
      </c>
      <c r="D80" s="9" t="s">
        <v>105</v>
      </c>
      <c r="E80" s="9" t="s">
        <v>55</v>
      </c>
      <c r="F80" s="1" t="s">
        <v>88</v>
      </c>
      <c r="G80" s="1" t="s">
        <v>57</v>
      </c>
      <c r="H80" s="1" t="n">
        <v>19</v>
      </c>
      <c r="I80" s="10" t="n">
        <v>20296</v>
      </c>
      <c r="J80" s="1" t="s">
        <v>49</v>
      </c>
      <c r="K80" s="1" t="s">
        <v>50</v>
      </c>
      <c r="L80" s="1" t="s">
        <v>74</v>
      </c>
      <c r="M80" s="1" t="s">
        <v>106</v>
      </c>
      <c r="N80" s="1" t="s">
        <v>42</v>
      </c>
      <c r="O80" s="1" t="n">
        <v>3</v>
      </c>
      <c r="P80" s="9" t="s">
        <v>53</v>
      </c>
    </row>
    <row r="81" customFormat="false" ht="15" hidden="false" customHeight="false" outlineLevel="0" collapsed="false">
      <c r="A81" s="1" t="s">
        <v>170</v>
      </c>
      <c r="B81" s="8" t="n">
        <v>45429</v>
      </c>
      <c r="C81" s="1" t="s">
        <v>76</v>
      </c>
      <c r="D81" s="9" t="s">
        <v>34</v>
      </c>
      <c r="E81" s="9" t="s">
        <v>55</v>
      </c>
      <c r="F81" s="1" t="s">
        <v>88</v>
      </c>
      <c r="G81" s="1" t="s">
        <v>99</v>
      </c>
      <c r="H81" s="1" t="n">
        <v>8</v>
      </c>
      <c r="I81" s="10" t="n">
        <v>45561</v>
      </c>
      <c r="J81" s="1" t="s">
        <v>119</v>
      </c>
      <c r="K81" s="1" t="s">
        <v>78</v>
      </c>
      <c r="L81" s="1" t="s">
        <v>74</v>
      </c>
      <c r="M81" s="1" t="s">
        <v>41</v>
      </c>
      <c r="N81" s="1" t="s">
        <v>42</v>
      </c>
      <c r="O81" s="1" t="n">
        <v>14</v>
      </c>
      <c r="P81" s="9" t="s">
        <v>42</v>
      </c>
    </row>
    <row r="82" customFormat="false" ht="15" hidden="false" customHeight="false" outlineLevel="0" collapsed="false">
      <c r="A82" s="1" t="s">
        <v>171</v>
      </c>
      <c r="B82" s="8" t="n">
        <v>45598</v>
      </c>
      <c r="C82" s="1" t="s">
        <v>33</v>
      </c>
      <c r="D82" s="9" t="s">
        <v>46</v>
      </c>
      <c r="E82" s="9" t="s">
        <v>55</v>
      </c>
      <c r="F82" s="1" t="s">
        <v>36</v>
      </c>
      <c r="G82" s="1" t="s">
        <v>57</v>
      </c>
      <c r="H82" s="1" t="n">
        <v>4</v>
      </c>
      <c r="I82" s="10" t="n">
        <v>23422</v>
      </c>
      <c r="J82" s="1" t="s">
        <v>58</v>
      </c>
      <c r="K82" s="1" t="s">
        <v>39</v>
      </c>
      <c r="L82" s="1" t="s">
        <v>40</v>
      </c>
      <c r="M82" s="1" t="s">
        <v>52</v>
      </c>
      <c r="N82" s="1" t="s">
        <v>42</v>
      </c>
      <c r="O82" s="1" t="n">
        <v>7</v>
      </c>
      <c r="P82" s="9" t="s">
        <v>42</v>
      </c>
    </row>
    <row r="83" customFormat="false" ht="15" hidden="false" customHeight="false" outlineLevel="0" collapsed="false">
      <c r="A83" s="1" t="s">
        <v>172</v>
      </c>
      <c r="B83" s="8" t="n">
        <v>45648</v>
      </c>
      <c r="C83" s="1" t="s">
        <v>84</v>
      </c>
      <c r="D83" s="9" t="s">
        <v>67</v>
      </c>
      <c r="E83" s="9" t="s">
        <v>35</v>
      </c>
      <c r="F83" s="1" t="s">
        <v>56</v>
      </c>
      <c r="G83" s="1" t="s">
        <v>57</v>
      </c>
      <c r="H83" s="1" t="n">
        <v>24</v>
      </c>
      <c r="I83" s="10" t="n">
        <v>20051</v>
      </c>
      <c r="J83" s="1" t="s">
        <v>95</v>
      </c>
      <c r="K83" s="1" t="s">
        <v>86</v>
      </c>
      <c r="L83" s="1" t="s">
        <v>137</v>
      </c>
      <c r="M83" s="1" t="s">
        <v>69</v>
      </c>
      <c r="N83" s="1" t="s">
        <v>42</v>
      </c>
      <c r="O83" s="1" t="n">
        <v>30</v>
      </c>
      <c r="P83" s="9" t="s">
        <v>43</v>
      </c>
    </row>
    <row r="84" customFormat="false" ht="15" hidden="false" customHeight="false" outlineLevel="0" collapsed="false">
      <c r="A84" s="1" t="s">
        <v>173</v>
      </c>
      <c r="B84" s="8" t="n">
        <v>45502</v>
      </c>
      <c r="C84" s="1" t="s">
        <v>76</v>
      </c>
      <c r="D84" s="9" t="s">
        <v>105</v>
      </c>
      <c r="E84" s="9" t="s">
        <v>55</v>
      </c>
      <c r="F84" s="1" t="s">
        <v>90</v>
      </c>
      <c r="G84" s="1" t="s">
        <v>37</v>
      </c>
      <c r="H84" s="1" t="n">
        <v>13</v>
      </c>
      <c r="I84" s="10" t="n">
        <v>95181</v>
      </c>
      <c r="J84" s="1" t="s">
        <v>119</v>
      </c>
      <c r="K84" s="1" t="s">
        <v>78</v>
      </c>
      <c r="L84" s="1" t="s">
        <v>91</v>
      </c>
      <c r="M84" s="1" t="s">
        <v>106</v>
      </c>
      <c r="N84" s="1" t="s">
        <v>42</v>
      </c>
      <c r="O84" s="1" t="n">
        <v>3</v>
      </c>
      <c r="P84" s="9" t="s">
        <v>53</v>
      </c>
    </row>
    <row r="85" customFormat="false" ht="15" hidden="false" customHeight="false" outlineLevel="0" collapsed="false">
      <c r="A85" s="1" t="s">
        <v>174</v>
      </c>
      <c r="B85" s="8" t="n">
        <v>45294</v>
      </c>
      <c r="C85" s="1" t="s">
        <v>84</v>
      </c>
      <c r="D85" s="9" t="s">
        <v>34</v>
      </c>
      <c r="E85" s="9" t="s">
        <v>35</v>
      </c>
      <c r="F85" s="1" t="s">
        <v>48</v>
      </c>
      <c r="G85" s="1" t="s">
        <v>99</v>
      </c>
      <c r="H85" s="1" t="n">
        <v>15</v>
      </c>
      <c r="I85" s="10" t="n">
        <v>28422</v>
      </c>
      <c r="J85" s="1" t="s">
        <v>95</v>
      </c>
      <c r="K85" s="1" t="s">
        <v>86</v>
      </c>
      <c r="L85" s="1" t="s">
        <v>74</v>
      </c>
      <c r="M85" s="1" t="s">
        <v>41</v>
      </c>
      <c r="N85" s="1" t="s">
        <v>53</v>
      </c>
      <c r="O85" s="1" t="n">
        <v>14</v>
      </c>
      <c r="P85" s="9" t="s">
        <v>43</v>
      </c>
    </row>
    <row r="86" customFormat="false" ht="15" hidden="false" customHeight="false" outlineLevel="0" collapsed="false">
      <c r="A86" s="1" t="s">
        <v>175</v>
      </c>
      <c r="B86" s="8" t="n">
        <v>45590</v>
      </c>
      <c r="C86" s="1" t="s">
        <v>33</v>
      </c>
      <c r="D86" s="9" t="s">
        <v>34</v>
      </c>
      <c r="E86" s="9" t="s">
        <v>80</v>
      </c>
      <c r="F86" s="1" t="s">
        <v>56</v>
      </c>
      <c r="G86" s="1" t="s">
        <v>57</v>
      </c>
      <c r="H86" s="1" t="n">
        <v>6</v>
      </c>
      <c r="I86" s="10" t="n">
        <v>74083</v>
      </c>
      <c r="J86" s="1" t="s">
        <v>38</v>
      </c>
      <c r="K86" s="1" t="s">
        <v>39</v>
      </c>
      <c r="L86" s="1" t="s">
        <v>74</v>
      </c>
      <c r="M86" s="1" t="s">
        <v>41</v>
      </c>
      <c r="N86" s="1" t="s">
        <v>42</v>
      </c>
      <c r="O86" s="1" t="n">
        <v>14</v>
      </c>
      <c r="P86" s="9" t="s">
        <v>43</v>
      </c>
    </row>
    <row r="87" customFormat="false" ht="15" hidden="false" customHeight="false" outlineLevel="0" collapsed="false">
      <c r="A87" s="1" t="s">
        <v>176</v>
      </c>
      <c r="B87" s="8" t="n">
        <v>45546</v>
      </c>
      <c r="C87" s="1" t="s">
        <v>84</v>
      </c>
      <c r="D87" s="9" t="s">
        <v>46</v>
      </c>
      <c r="E87" s="9" t="s">
        <v>80</v>
      </c>
      <c r="F87" s="1" t="s">
        <v>48</v>
      </c>
      <c r="G87" s="1" t="s">
        <v>37</v>
      </c>
      <c r="H87" s="1" t="n">
        <v>23</v>
      </c>
      <c r="I87" s="10" t="n">
        <v>71294</v>
      </c>
      <c r="J87" s="1" t="s">
        <v>109</v>
      </c>
      <c r="K87" s="1" t="s">
        <v>86</v>
      </c>
      <c r="L87" s="1" t="s">
        <v>74</v>
      </c>
      <c r="M87" s="1" t="s">
        <v>52</v>
      </c>
      <c r="N87" s="1" t="s">
        <v>42</v>
      </c>
      <c r="O87" s="1" t="n">
        <v>7</v>
      </c>
      <c r="P87" s="9" t="s">
        <v>43</v>
      </c>
    </row>
    <row r="88" customFormat="false" ht="15" hidden="false" customHeight="false" outlineLevel="0" collapsed="false">
      <c r="A88" s="1" t="s">
        <v>177</v>
      </c>
      <c r="B88" s="8" t="n">
        <v>45497</v>
      </c>
      <c r="C88" s="1" t="s">
        <v>45</v>
      </c>
      <c r="D88" s="9" t="s">
        <v>34</v>
      </c>
      <c r="E88" s="9" t="s">
        <v>35</v>
      </c>
      <c r="F88" s="1" t="s">
        <v>48</v>
      </c>
      <c r="G88" s="1" t="s">
        <v>99</v>
      </c>
      <c r="H88" s="1" t="n">
        <v>29</v>
      </c>
      <c r="I88" s="10" t="n">
        <v>19340</v>
      </c>
      <c r="J88" s="1" t="s">
        <v>49</v>
      </c>
      <c r="K88" s="1" t="s">
        <v>50</v>
      </c>
      <c r="L88" s="1" t="s">
        <v>51</v>
      </c>
      <c r="M88" s="1" t="s">
        <v>41</v>
      </c>
      <c r="N88" s="1" t="s">
        <v>42</v>
      </c>
      <c r="O88" s="1" t="n">
        <v>14</v>
      </c>
      <c r="P88" s="9" t="s">
        <v>43</v>
      </c>
    </row>
    <row r="89" customFormat="false" ht="15" hidden="false" customHeight="false" outlineLevel="0" collapsed="false">
      <c r="A89" s="1" t="s">
        <v>178</v>
      </c>
      <c r="B89" s="8" t="n">
        <v>45638</v>
      </c>
      <c r="C89" s="1" t="s">
        <v>33</v>
      </c>
      <c r="D89" s="9" t="s">
        <v>46</v>
      </c>
      <c r="E89" s="9" t="s">
        <v>80</v>
      </c>
      <c r="F89" s="1" t="s">
        <v>48</v>
      </c>
      <c r="G89" s="1" t="s">
        <v>60</v>
      </c>
      <c r="H89" s="1" t="n">
        <v>27</v>
      </c>
      <c r="I89" s="10" t="n">
        <v>74241</v>
      </c>
      <c r="J89" s="1" t="s">
        <v>102</v>
      </c>
      <c r="K89" s="1" t="s">
        <v>39</v>
      </c>
      <c r="L89" s="1" t="s">
        <v>65</v>
      </c>
      <c r="M89" s="1" t="s">
        <v>52</v>
      </c>
      <c r="N89" s="1" t="s">
        <v>42</v>
      </c>
      <c r="O89" s="1" t="n">
        <v>7</v>
      </c>
      <c r="P89" s="9" t="s">
        <v>43</v>
      </c>
    </row>
    <row r="90" customFormat="false" ht="15" hidden="false" customHeight="false" outlineLevel="0" collapsed="false">
      <c r="A90" s="1" t="s">
        <v>179</v>
      </c>
      <c r="B90" s="8" t="n">
        <v>45297</v>
      </c>
      <c r="C90" s="1" t="s">
        <v>45</v>
      </c>
      <c r="D90" s="9" t="s">
        <v>105</v>
      </c>
      <c r="E90" s="9" t="s">
        <v>55</v>
      </c>
      <c r="F90" s="1" t="s">
        <v>36</v>
      </c>
      <c r="G90" s="1" t="s">
        <v>57</v>
      </c>
      <c r="H90" s="1" t="n">
        <v>19</v>
      </c>
      <c r="I90" s="10" t="n">
        <v>31401</v>
      </c>
      <c r="J90" s="1" t="s">
        <v>115</v>
      </c>
      <c r="K90" s="1" t="s">
        <v>50</v>
      </c>
      <c r="L90" s="1" t="s">
        <v>69</v>
      </c>
      <c r="M90" s="1" t="s">
        <v>106</v>
      </c>
      <c r="N90" s="1" t="s">
        <v>42</v>
      </c>
      <c r="O90" s="1" t="n">
        <v>3</v>
      </c>
      <c r="P90" s="9" t="s">
        <v>53</v>
      </c>
    </row>
    <row r="91" customFormat="false" ht="15" hidden="false" customHeight="false" outlineLevel="0" collapsed="false">
      <c r="A91" s="1" t="s">
        <v>180</v>
      </c>
      <c r="B91" s="8" t="n">
        <v>45333</v>
      </c>
      <c r="C91" s="1" t="s">
        <v>84</v>
      </c>
      <c r="D91" s="9" t="s">
        <v>105</v>
      </c>
      <c r="E91" s="9" t="s">
        <v>55</v>
      </c>
      <c r="F91" s="1" t="s">
        <v>90</v>
      </c>
      <c r="G91" s="1" t="s">
        <v>99</v>
      </c>
      <c r="H91" s="1" t="n">
        <v>18</v>
      </c>
      <c r="I91" s="10" t="n">
        <v>57816</v>
      </c>
      <c r="J91" s="1" t="s">
        <v>109</v>
      </c>
      <c r="K91" s="1" t="s">
        <v>86</v>
      </c>
      <c r="L91" s="1" t="s">
        <v>91</v>
      </c>
      <c r="M91" s="1" t="s">
        <v>106</v>
      </c>
      <c r="N91" s="1" t="s">
        <v>42</v>
      </c>
      <c r="O91" s="1" t="n">
        <v>3</v>
      </c>
      <c r="P91" s="9" t="s">
        <v>53</v>
      </c>
    </row>
    <row r="92" customFormat="false" ht="15" hidden="false" customHeight="false" outlineLevel="0" collapsed="false">
      <c r="A92" s="1" t="s">
        <v>181</v>
      </c>
      <c r="B92" s="8" t="n">
        <v>45437</v>
      </c>
      <c r="C92" s="1" t="s">
        <v>62</v>
      </c>
      <c r="D92" s="9" t="s">
        <v>46</v>
      </c>
      <c r="E92" s="9" t="s">
        <v>47</v>
      </c>
      <c r="F92" s="1" t="s">
        <v>90</v>
      </c>
      <c r="G92" s="1" t="s">
        <v>57</v>
      </c>
      <c r="H92" s="1" t="n">
        <v>24</v>
      </c>
      <c r="I92" s="10" t="n">
        <v>28630</v>
      </c>
      <c r="J92" s="1" t="s">
        <v>68</v>
      </c>
      <c r="K92" s="1" t="s">
        <v>64</v>
      </c>
      <c r="L92" s="1" t="s">
        <v>91</v>
      </c>
      <c r="M92" s="1" t="s">
        <v>52</v>
      </c>
      <c r="N92" s="1" t="s">
        <v>42</v>
      </c>
      <c r="O92" s="1" t="n">
        <v>7</v>
      </c>
      <c r="P92" s="9" t="s">
        <v>43</v>
      </c>
    </row>
    <row r="93" customFormat="false" ht="15" hidden="false" customHeight="false" outlineLevel="0" collapsed="false">
      <c r="A93" s="1" t="s">
        <v>182</v>
      </c>
      <c r="B93" s="8" t="n">
        <v>45500</v>
      </c>
      <c r="C93" s="1" t="s">
        <v>62</v>
      </c>
      <c r="D93" s="9" t="s">
        <v>46</v>
      </c>
      <c r="E93" s="9" t="s">
        <v>47</v>
      </c>
      <c r="F93" s="1" t="s">
        <v>90</v>
      </c>
      <c r="G93" s="1" t="s">
        <v>57</v>
      </c>
      <c r="H93" s="1" t="n">
        <v>19</v>
      </c>
      <c r="I93" s="10" t="n">
        <v>98972</v>
      </c>
      <c r="J93" s="1" t="s">
        <v>68</v>
      </c>
      <c r="K93" s="1" t="s">
        <v>64</v>
      </c>
      <c r="L93" s="1" t="s">
        <v>74</v>
      </c>
      <c r="M93" s="1" t="s">
        <v>52</v>
      </c>
      <c r="N93" s="1" t="s">
        <v>42</v>
      </c>
      <c r="O93" s="1" t="n">
        <v>7</v>
      </c>
      <c r="P93" s="9" t="s">
        <v>43</v>
      </c>
    </row>
    <row r="94" customFormat="false" ht="15" hidden="false" customHeight="false" outlineLevel="0" collapsed="false">
      <c r="A94" s="1" t="s">
        <v>183</v>
      </c>
      <c r="B94" s="8" t="n">
        <v>45505</v>
      </c>
      <c r="C94" s="1" t="s">
        <v>71</v>
      </c>
      <c r="D94" s="9" t="s">
        <v>34</v>
      </c>
      <c r="E94" s="9" t="s">
        <v>55</v>
      </c>
      <c r="F94" s="1" t="s">
        <v>48</v>
      </c>
      <c r="G94" s="1" t="s">
        <v>57</v>
      </c>
      <c r="H94" s="1" t="n">
        <v>2</v>
      </c>
      <c r="I94" s="10" t="n">
        <v>54175</v>
      </c>
      <c r="J94" s="1" t="s">
        <v>125</v>
      </c>
      <c r="K94" s="1" t="s">
        <v>73</v>
      </c>
      <c r="L94" s="1" t="s">
        <v>65</v>
      </c>
      <c r="M94" s="1" t="s">
        <v>41</v>
      </c>
      <c r="N94" s="1" t="s">
        <v>42</v>
      </c>
      <c r="O94" s="1" t="n">
        <v>14</v>
      </c>
      <c r="P94" s="9" t="s">
        <v>42</v>
      </c>
    </row>
    <row r="95" customFormat="false" ht="15" hidden="false" customHeight="false" outlineLevel="0" collapsed="false">
      <c r="A95" s="1" t="s">
        <v>184</v>
      </c>
      <c r="B95" s="8" t="n">
        <v>45575</v>
      </c>
      <c r="C95" s="1" t="s">
        <v>84</v>
      </c>
      <c r="D95" s="9" t="s">
        <v>67</v>
      </c>
      <c r="E95" s="9" t="s">
        <v>55</v>
      </c>
      <c r="F95" s="1" t="s">
        <v>90</v>
      </c>
      <c r="G95" s="1" t="s">
        <v>99</v>
      </c>
      <c r="H95" s="1" t="n">
        <v>23</v>
      </c>
      <c r="I95" s="10" t="n">
        <v>64321</v>
      </c>
      <c r="J95" s="1" t="s">
        <v>109</v>
      </c>
      <c r="K95" s="1" t="s">
        <v>86</v>
      </c>
      <c r="L95" s="1" t="s">
        <v>40</v>
      </c>
      <c r="M95" s="1" t="s">
        <v>69</v>
      </c>
      <c r="N95" s="1" t="s">
        <v>42</v>
      </c>
      <c r="O95" s="1" t="n">
        <v>30</v>
      </c>
      <c r="P95" s="9" t="s">
        <v>42</v>
      </c>
    </row>
    <row r="96" customFormat="false" ht="15" hidden="false" customHeight="false" outlineLevel="0" collapsed="false">
      <c r="A96" s="1" t="s">
        <v>185</v>
      </c>
      <c r="B96" s="8" t="n">
        <v>45520</v>
      </c>
      <c r="C96" s="1" t="s">
        <v>45</v>
      </c>
      <c r="D96" s="9" t="s">
        <v>34</v>
      </c>
      <c r="E96" s="9" t="s">
        <v>55</v>
      </c>
      <c r="F96" s="1" t="s">
        <v>36</v>
      </c>
      <c r="G96" s="1" t="s">
        <v>99</v>
      </c>
      <c r="H96" s="1" t="n">
        <v>5</v>
      </c>
      <c r="I96" s="10" t="n">
        <v>62319</v>
      </c>
      <c r="J96" s="1" t="s">
        <v>49</v>
      </c>
      <c r="K96" s="1" t="s">
        <v>50</v>
      </c>
      <c r="L96" s="1" t="s">
        <v>40</v>
      </c>
      <c r="M96" s="1" t="s">
        <v>41</v>
      </c>
      <c r="N96" s="1" t="s">
        <v>42</v>
      </c>
      <c r="O96" s="1" t="n">
        <v>14</v>
      </c>
      <c r="P96" s="9" t="s">
        <v>42</v>
      </c>
    </row>
    <row r="97" customFormat="false" ht="15" hidden="false" customHeight="false" outlineLevel="0" collapsed="false">
      <c r="A97" s="1" t="s">
        <v>186</v>
      </c>
      <c r="B97" s="8" t="n">
        <v>45348</v>
      </c>
      <c r="C97" s="1" t="s">
        <v>84</v>
      </c>
      <c r="D97" s="9" t="s">
        <v>105</v>
      </c>
      <c r="E97" s="9" t="s">
        <v>55</v>
      </c>
      <c r="F97" s="1" t="s">
        <v>48</v>
      </c>
      <c r="G97" s="1" t="s">
        <v>99</v>
      </c>
      <c r="H97" s="1" t="n">
        <v>8</v>
      </c>
      <c r="I97" s="10" t="n">
        <v>27090</v>
      </c>
      <c r="J97" s="1" t="s">
        <v>85</v>
      </c>
      <c r="K97" s="1" t="s">
        <v>86</v>
      </c>
      <c r="L97" s="1" t="s">
        <v>65</v>
      </c>
      <c r="M97" s="1" t="s">
        <v>106</v>
      </c>
      <c r="N97" s="1" t="s">
        <v>42</v>
      </c>
      <c r="O97" s="1" t="n">
        <v>3</v>
      </c>
      <c r="P97" s="9" t="s">
        <v>53</v>
      </c>
    </row>
    <row r="98" customFormat="false" ht="15" hidden="false" customHeight="false" outlineLevel="0" collapsed="false">
      <c r="A98" s="1" t="s">
        <v>187</v>
      </c>
      <c r="B98" s="8" t="n">
        <v>45311</v>
      </c>
      <c r="C98" s="1" t="s">
        <v>76</v>
      </c>
      <c r="D98" s="9" t="s">
        <v>105</v>
      </c>
      <c r="E98" s="9" t="s">
        <v>55</v>
      </c>
      <c r="F98" s="1" t="s">
        <v>88</v>
      </c>
      <c r="G98" s="1" t="s">
        <v>99</v>
      </c>
      <c r="H98" s="1" t="n">
        <v>3</v>
      </c>
      <c r="I98" s="10" t="n">
        <v>46924</v>
      </c>
      <c r="J98" s="1" t="s">
        <v>119</v>
      </c>
      <c r="K98" s="1" t="s">
        <v>78</v>
      </c>
      <c r="L98" s="1" t="s">
        <v>51</v>
      </c>
      <c r="M98" s="1" t="s">
        <v>106</v>
      </c>
      <c r="N98" s="1" t="s">
        <v>42</v>
      </c>
      <c r="O98" s="1" t="n">
        <v>3</v>
      </c>
      <c r="P98" s="9" t="s">
        <v>42</v>
      </c>
    </row>
    <row r="99" customFormat="false" ht="15" hidden="false" customHeight="false" outlineLevel="0" collapsed="false">
      <c r="A99" s="1" t="s">
        <v>188</v>
      </c>
      <c r="B99" s="8" t="n">
        <v>45303</v>
      </c>
      <c r="C99" s="1" t="s">
        <v>84</v>
      </c>
      <c r="D99" s="9" t="s">
        <v>67</v>
      </c>
      <c r="E99" s="9" t="s">
        <v>55</v>
      </c>
      <c r="F99" s="1" t="s">
        <v>90</v>
      </c>
      <c r="G99" s="1" t="s">
        <v>57</v>
      </c>
      <c r="H99" s="1" t="n">
        <v>12</v>
      </c>
      <c r="I99" s="10" t="n">
        <v>78795</v>
      </c>
      <c r="J99" s="1" t="s">
        <v>109</v>
      </c>
      <c r="K99" s="1" t="s">
        <v>86</v>
      </c>
      <c r="L99" s="1" t="s">
        <v>40</v>
      </c>
      <c r="M99" s="1" t="s">
        <v>69</v>
      </c>
      <c r="N99" s="1" t="s">
        <v>42</v>
      </c>
      <c r="O99" s="1" t="n">
        <v>30</v>
      </c>
      <c r="P99" s="9" t="s">
        <v>42</v>
      </c>
    </row>
    <row r="100" customFormat="false" ht="15" hidden="false" customHeight="false" outlineLevel="0" collapsed="false">
      <c r="A100" s="1" t="s">
        <v>189</v>
      </c>
      <c r="B100" s="8" t="n">
        <v>45543</v>
      </c>
      <c r="C100" s="1" t="s">
        <v>76</v>
      </c>
      <c r="D100" s="9" t="s">
        <v>34</v>
      </c>
      <c r="E100" s="9" t="s">
        <v>55</v>
      </c>
      <c r="F100" s="1" t="s">
        <v>90</v>
      </c>
      <c r="G100" s="1" t="s">
        <v>37</v>
      </c>
      <c r="H100" s="1" t="n">
        <v>12</v>
      </c>
      <c r="I100" s="10" t="n">
        <v>84564</v>
      </c>
      <c r="J100" s="1" t="s">
        <v>119</v>
      </c>
      <c r="K100" s="1" t="s">
        <v>78</v>
      </c>
      <c r="L100" s="1" t="s">
        <v>74</v>
      </c>
      <c r="M100" s="1" t="s">
        <v>41</v>
      </c>
      <c r="N100" s="1" t="s">
        <v>42</v>
      </c>
      <c r="O100" s="1" t="n">
        <v>14</v>
      </c>
      <c r="P100" s="9" t="s">
        <v>42</v>
      </c>
    </row>
    <row r="101" customFormat="false" ht="15" hidden="false" customHeight="false" outlineLevel="0" collapsed="false">
      <c r="A101" s="1" t="s">
        <v>190</v>
      </c>
      <c r="B101" s="8" t="n">
        <v>45553</v>
      </c>
      <c r="C101" s="1" t="s">
        <v>71</v>
      </c>
      <c r="D101" s="9" t="s">
        <v>67</v>
      </c>
      <c r="E101" s="9" t="s">
        <v>35</v>
      </c>
      <c r="F101" s="1" t="s">
        <v>56</v>
      </c>
      <c r="G101" s="1" t="s">
        <v>37</v>
      </c>
      <c r="H101" s="1" t="n">
        <v>16</v>
      </c>
      <c r="I101" s="10" t="n">
        <v>33344</v>
      </c>
      <c r="J101" s="1" t="s">
        <v>125</v>
      </c>
      <c r="K101" s="1" t="s">
        <v>73</v>
      </c>
      <c r="L101" s="1" t="s">
        <v>137</v>
      </c>
      <c r="M101" s="1" t="s">
        <v>69</v>
      </c>
      <c r="N101" s="1" t="s">
        <v>42</v>
      </c>
      <c r="O101" s="1" t="n">
        <v>30</v>
      </c>
      <c r="P101" s="9" t="s">
        <v>43</v>
      </c>
    </row>
    <row r="102" customFormat="false" ht="15" hidden="false" customHeight="false" outlineLevel="0" collapsed="false">
      <c r="A102" s="1" t="s">
        <v>191</v>
      </c>
      <c r="B102" s="8" t="n">
        <v>45997</v>
      </c>
      <c r="C102" s="1" t="s">
        <v>62</v>
      </c>
      <c r="D102" s="9" t="s">
        <v>67</v>
      </c>
      <c r="E102" s="9" t="s">
        <v>55</v>
      </c>
      <c r="F102" s="1" t="s">
        <v>192</v>
      </c>
      <c r="G102" s="1" t="s">
        <v>193</v>
      </c>
      <c r="H102" s="1" t="n">
        <v>19</v>
      </c>
      <c r="I102" s="10" t="n">
        <v>20930</v>
      </c>
      <c r="J102" s="1" t="s">
        <v>127</v>
      </c>
      <c r="K102" s="1" t="s">
        <v>64</v>
      </c>
      <c r="L102" s="1" t="s">
        <v>51</v>
      </c>
      <c r="M102" s="1" t="s">
        <v>69</v>
      </c>
      <c r="N102" s="1" t="s">
        <v>53</v>
      </c>
      <c r="O102" s="1" t="n">
        <v>30</v>
      </c>
      <c r="P102" s="9" t="s">
        <v>42</v>
      </c>
    </row>
    <row r="103" customFormat="false" ht="15" hidden="false" customHeight="false" outlineLevel="0" collapsed="false">
      <c r="A103" s="1" t="s">
        <v>194</v>
      </c>
      <c r="B103" s="8" t="n">
        <v>45988</v>
      </c>
      <c r="C103" s="1" t="s">
        <v>195</v>
      </c>
      <c r="D103" s="9" t="s">
        <v>46</v>
      </c>
      <c r="E103" s="9" t="s">
        <v>80</v>
      </c>
      <c r="F103" s="1" t="s">
        <v>90</v>
      </c>
      <c r="G103" s="1" t="s">
        <v>37</v>
      </c>
      <c r="H103" s="1" t="n">
        <v>10</v>
      </c>
      <c r="I103" s="10" t="n">
        <v>22970</v>
      </c>
      <c r="J103" s="1" t="s">
        <v>196</v>
      </c>
      <c r="K103" s="1" t="s">
        <v>197</v>
      </c>
      <c r="L103" s="1" t="s">
        <v>40</v>
      </c>
      <c r="M103" s="1" t="s">
        <v>52</v>
      </c>
      <c r="N103" s="1" t="s">
        <v>42</v>
      </c>
      <c r="O103" s="1" t="n">
        <v>7</v>
      </c>
      <c r="P103" s="9" t="s">
        <v>43</v>
      </c>
    </row>
    <row r="104" customFormat="false" ht="15" hidden="false" customHeight="false" outlineLevel="0" collapsed="false">
      <c r="A104" s="1" t="s">
        <v>198</v>
      </c>
      <c r="B104" s="8" t="n">
        <v>45905</v>
      </c>
      <c r="C104" s="1" t="s">
        <v>84</v>
      </c>
      <c r="D104" s="9" t="s">
        <v>34</v>
      </c>
      <c r="E104" s="9" t="s">
        <v>47</v>
      </c>
      <c r="F104" s="1" t="s">
        <v>199</v>
      </c>
      <c r="G104" s="1" t="s">
        <v>193</v>
      </c>
      <c r="H104" s="1" t="n">
        <v>25</v>
      </c>
      <c r="I104" s="10" t="n">
        <v>36610</v>
      </c>
      <c r="J104" s="1" t="s">
        <v>85</v>
      </c>
      <c r="K104" s="1" t="s">
        <v>86</v>
      </c>
      <c r="L104" s="1" t="s">
        <v>74</v>
      </c>
      <c r="M104" s="1" t="s">
        <v>41</v>
      </c>
      <c r="N104" s="1" t="s">
        <v>42</v>
      </c>
      <c r="O104" s="1" t="n">
        <v>14</v>
      </c>
      <c r="P104" s="9" t="s">
        <v>43</v>
      </c>
    </row>
    <row r="105" customFormat="false" ht="15" hidden="false" customHeight="false" outlineLevel="0" collapsed="false">
      <c r="A105" s="1" t="s">
        <v>200</v>
      </c>
      <c r="B105" s="8" t="n">
        <v>45899</v>
      </c>
      <c r="C105" s="1" t="s">
        <v>201</v>
      </c>
      <c r="D105" s="9" t="s">
        <v>34</v>
      </c>
      <c r="E105" s="9" t="s">
        <v>55</v>
      </c>
      <c r="F105" s="1" t="s">
        <v>36</v>
      </c>
      <c r="G105" s="1" t="s">
        <v>37</v>
      </c>
      <c r="H105" s="1" t="n">
        <v>18</v>
      </c>
      <c r="I105" s="10" t="n">
        <v>77790</v>
      </c>
      <c r="J105" s="1" t="s">
        <v>202</v>
      </c>
      <c r="K105" s="1" t="s">
        <v>203</v>
      </c>
      <c r="L105" s="1" t="s">
        <v>69</v>
      </c>
      <c r="M105" s="1" t="s">
        <v>41</v>
      </c>
      <c r="N105" s="1" t="s">
        <v>53</v>
      </c>
      <c r="O105" s="1" t="n">
        <v>14</v>
      </c>
      <c r="P105" s="9" t="s">
        <v>53</v>
      </c>
    </row>
    <row r="106" customFormat="false" ht="15" hidden="false" customHeight="false" outlineLevel="0" collapsed="false">
      <c r="A106" s="1" t="s">
        <v>204</v>
      </c>
      <c r="B106" s="8" t="n">
        <v>46010</v>
      </c>
      <c r="C106" s="1" t="s">
        <v>62</v>
      </c>
      <c r="D106" s="9" t="s">
        <v>34</v>
      </c>
      <c r="E106" s="9" t="s">
        <v>55</v>
      </c>
      <c r="F106" s="1" t="s">
        <v>192</v>
      </c>
      <c r="G106" s="1" t="s">
        <v>193</v>
      </c>
      <c r="H106" s="1" t="n">
        <v>10</v>
      </c>
      <c r="I106" s="10" t="n">
        <v>35240</v>
      </c>
      <c r="J106" s="1" t="s">
        <v>68</v>
      </c>
      <c r="K106" s="1" t="s">
        <v>64</v>
      </c>
      <c r="L106" s="1" t="s">
        <v>74</v>
      </c>
      <c r="M106" s="1" t="s">
        <v>41</v>
      </c>
      <c r="N106" s="1" t="s">
        <v>53</v>
      </c>
      <c r="O106" s="1" t="n">
        <v>14</v>
      </c>
      <c r="P106" s="9" t="s">
        <v>42</v>
      </c>
    </row>
    <row r="107" customFormat="false" ht="15" hidden="false" customHeight="false" outlineLevel="0" collapsed="false">
      <c r="A107" s="1" t="s">
        <v>205</v>
      </c>
      <c r="B107" s="8" t="n">
        <v>45850</v>
      </c>
      <c r="C107" s="1" t="s">
        <v>71</v>
      </c>
      <c r="D107" s="9" t="s">
        <v>46</v>
      </c>
      <c r="E107" s="9" t="s">
        <v>55</v>
      </c>
      <c r="F107" s="1" t="s">
        <v>48</v>
      </c>
      <c r="G107" s="1" t="s">
        <v>60</v>
      </c>
      <c r="H107" s="1" t="n">
        <v>7</v>
      </c>
      <c r="I107" s="10" t="n">
        <v>37200</v>
      </c>
      <c r="J107" s="1" t="s">
        <v>82</v>
      </c>
      <c r="K107" s="1" t="s">
        <v>73</v>
      </c>
      <c r="L107" s="1" t="s">
        <v>74</v>
      </c>
      <c r="M107" s="1" t="s">
        <v>52</v>
      </c>
      <c r="N107" s="1" t="s">
        <v>42</v>
      </c>
      <c r="O107" s="1" t="n">
        <v>7</v>
      </c>
      <c r="P107" s="9" t="s">
        <v>42</v>
      </c>
    </row>
    <row r="108" customFormat="false" ht="15" hidden="false" customHeight="false" outlineLevel="0" collapsed="false">
      <c r="A108" s="1" t="s">
        <v>206</v>
      </c>
      <c r="B108" s="8" t="n">
        <v>45920</v>
      </c>
      <c r="C108" s="1" t="s">
        <v>76</v>
      </c>
      <c r="D108" s="9" t="s">
        <v>34</v>
      </c>
      <c r="E108" s="9" t="s">
        <v>55</v>
      </c>
      <c r="F108" s="1" t="s">
        <v>207</v>
      </c>
      <c r="G108" s="1" t="s">
        <v>57</v>
      </c>
      <c r="H108" s="1" t="n">
        <v>12</v>
      </c>
      <c r="I108" s="10" t="n">
        <v>56460</v>
      </c>
      <c r="J108" s="1" t="s">
        <v>93</v>
      </c>
      <c r="K108" s="1" t="s">
        <v>78</v>
      </c>
      <c r="L108" s="1" t="s">
        <v>208</v>
      </c>
      <c r="M108" s="1" t="s">
        <v>41</v>
      </c>
      <c r="N108" s="1" t="s">
        <v>53</v>
      </c>
      <c r="O108" s="1" t="n">
        <v>14</v>
      </c>
      <c r="P108" s="9" t="s">
        <v>42</v>
      </c>
    </row>
    <row r="109" customFormat="false" ht="15" hidden="false" customHeight="false" outlineLevel="0" collapsed="false">
      <c r="A109" s="1" t="s">
        <v>209</v>
      </c>
      <c r="B109" s="8" t="n">
        <v>45867</v>
      </c>
      <c r="C109" s="1" t="s">
        <v>210</v>
      </c>
      <c r="D109" s="9" t="s">
        <v>46</v>
      </c>
      <c r="E109" s="9" t="s">
        <v>55</v>
      </c>
      <c r="F109" s="1" t="s">
        <v>199</v>
      </c>
      <c r="G109" s="1" t="s">
        <v>37</v>
      </c>
      <c r="H109" s="1" t="n">
        <v>1</v>
      </c>
      <c r="I109" s="10" t="n">
        <v>107350</v>
      </c>
      <c r="J109" s="1" t="s">
        <v>211</v>
      </c>
      <c r="K109" s="1" t="s">
        <v>212</v>
      </c>
      <c r="L109" s="1" t="s">
        <v>40</v>
      </c>
      <c r="M109" s="1" t="s">
        <v>52</v>
      </c>
      <c r="N109" s="1" t="s">
        <v>42</v>
      </c>
      <c r="O109" s="1" t="n">
        <v>7</v>
      </c>
      <c r="P109" s="9" t="s">
        <v>42</v>
      </c>
    </row>
    <row r="110" customFormat="false" ht="15" hidden="false" customHeight="false" outlineLevel="0" collapsed="false">
      <c r="A110" s="1" t="s">
        <v>213</v>
      </c>
      <c r="B110" s="8" t="n">
        <v>45685</v>
      </c>
      <c r="C110" s="1" t="s">
        <v>71</v>
      </c>
      <c r="D110" s="9" t="s">
        <v>34</v>
      </c>
      <c r="E110" s="9" t="s">
        <v>55</v>
      </c>
      <c r="F110" s="1" t="s">
        <v>207</v>
      </c>
      <c r="G110" s="1" t="s">
        <v>60</v>
      </c>
      <c r="H110" s="1" t="n">
        <v>15</v>
      </c>
      <c r="I110" s="10" t="n">
        <v>13050</v>
      </c>
      <c r="J110" s="1" t="s">
        <v>72</v>
      </c>
      <c r="K110" s="1" t="s">
        <v>73</v>
      </c>
      <c r="L110" s="1" t="s">
        <v>74</v>
      </c>
      <c r="M110" s="1" t="s">
        <v>41</v>
      </c>
      <c r="N110" s="1" t="s">
        <v>42</v>
      </c>
      <c r="O110" s="1" t="n">
        <v>14</v>
      </c>
      <c r="P110" s="9" t="s">
        <v>53</v>
      </c>
    </row>
    <row r="111" customFormat="false" ht="15" hidden="false" customHeight="false" outlineLevel="0" collapsed="false">
      <c r="A111" s="1" t="s">
        <v>214</v>
      </c>
      <c r="B111" s="8" t="n">
        <v>45996</v>
      </c>
      <c r="C111" s="1" t="s">
        <v>33</v>
      </c>
      <c r="D111" s="9" t="s">
        <v>67</v>
      </c>
      <c r="E111" s="9" t="s">
        <v>55</v>
      </c>
      <c r="F111" s="1" t="s">
        <v>207</v>
      </c>
      <c r="G111" s="1" t="s">
        <v>60</v>
      </c>
      <c r="H111" s="1" t="n">
        <v>28</v>
      </c>
      <c r="I111" s="10" t="n">
        <v>25350</v>
      </c>
      <c r="J111" s="1" t="s">
        <v>38</v>
      </c>
      <c r="K111" s="1" t="s">
        <v>39</v>
      </c>
      <c r="L111" s="1" t="s">
        <v>74</v>
      </c>
      <c r="M111" s="1" t="s">
        <v>69</v>
      </c>
      <c r="N111" s="1" t="s">
        <v>42</v>
      </c>
      <c r="O111" s="1" t="n">
        <v>30</v>
      </c>
      <c r="P111" s="9" t="s">
        <v>42</v>
      </c>
    </row>
    <row r="112" customFormat="false" ht="15" hidden="false" customHeight="false" outlineLevel="0" collapsed="false">
      <c r="A112" s="1" t="s">
        <v>215</v>
      </c>
      <c r="B112" s="8" t="n">
        <v>45848</v>
      </c>
      <c r="C112" s="1" t="s">
        <v>210</v>
      </c>
      <c r="D112" s="9" t="s">
        <v>105</v>
      </c>
      <c r="E112" s="9" t="s">
        <v>55</v>
      </c>
      <c r="F112" s="1" t="s">
        <v>36</v>
      </c>
      <c r="G112" s="1" t="s">
        <v>37</v>
      </c>
      <c r="H112" s="1" t="n">
        <v>1</v>
      </c>
      <c r="I112" s="10" t="n">
        <v>191110</v>
      </c>
      <c r="J112" s="1" t="s">
        <v>216</v>
      </c>
      <c r="K112" s="1" t="s">
        <v>212</v>
      </c>
      <c r="L112" s="1" t="s">
        <v>51</v>
      </c>
      <c r="M112" s="1" t="s">
        <v>106</v>
      </c>
      <c r="N112" s="1" t="s">
        <v>42</v>
      </c>
      <c r="O112" s="1" t="n">
        <v>3</v>
      </c>
      <c r="P112" s="9" t="s">
        <v>42</v>
      </c>
    </row>
    <row r="113" customFormat="false" ht="15" hidden="false" customHeight="false" outlineLevel="0" collapsed="false">
      <c r="A113" s="1" t="s">
        <v>217</v>
      </c>
      <c r="B113" s="8" t="n">
        <v>45941</v>
      </c>
      <c r="C113" s="1" t="s">
        <v>33</v>
      </c>
      <c r="D113" s="9" t="s">
        <v>34</v>
      </c>
      <c r="E113" s="9" t="s">
        <v>80</v>
      </c>
      <c r="F113" s="1" t="s">
        <v>88</v>
      </c>
      <c r="G113" s="1" t="s">
        <v>57</v>
      </c>
      <c r="H113" s="1" t="n">
        <v>30</v>
      </c>
      <c r="I113" s="10" t="n">
        <v>33460</v>
      </c>
      <c r="J113" s="1" t="s">
        <v>38</v>
      </c>
      <c r="K113" s="1" t="s">
        <v>39</v>
      </c>
      <c r="L113" s="1" t="s">
        <v>74</v>
      </c>
      <c r="M113" s="1" t="s">
        <v>41</v>
      </c>
      <c r="N113" s="1" t="s">
        <v>42</v>
      </c>
      <c r="O113" s="1" t="n">
        <v>14</v>
      </c>
      <c r="P113" s="9" t="s">
        <v>43</v>
      </c>
    </row>
    <row r="114" customFormat="false" ht="15" hidden="false" customHeight="false" outlineLevel="0" collapsed="false">
      <c r="A114" s="1" t="s">
        <v>218</v>
      </c>
      <c r="B114" s="8" t="n">
        <v>46017</v>
      </c>
      <c r="C114" s="1" t="s">
        <v>219</v>
      </c>
      <c r="D114" s="9" t="s">
        <v>46</v>
      </c>
      <c r="E114" s="9" t="s">
        <v>35</v>
      </c>
      <c r="F114" s="1" t="s">
        <v>36</v>
      </c>
      <c r="G114" s="1" t="s">
        <v>220</v>
      </c>
      <c r="H114" s="1" t="n">
        <v>13</v>
      </c>
      <c r="I114" s="10" t="n">
        <v>105600</v>
      </c>
      <c r="J114" s="1" t="s">
        <v>71</v>
      </c>
      <c r="K114" s="1" t="s">
        <v>78</v>
      </c>
      <c r="L114" s="1" t="s">
        <v>40</v>
      </c>
      <c r="M114" s="1" t="s">
        <v>52</v>
      </c>
      <c r="N114" s="1" t="s">
        <v>42</v>
      </c>
      <c r="O114" s="1" t="n">
        <v>7</v>
      </c>
      <c r="P114" s="9" t="s">
        <v>43</v>
      </c>
    </row>
    <row r="115" customFormat="false" ht="15" hidden="false" customHeight="false" outlineLevel="0" collapsed="false">
      <c r="A115" s="1" t="s">
        <v>221</v>
      </c>
      <c r="B115" s="8" t="n">
        <v>45949</v>
      </c>
      <c r="C115" s="1" t="s">
        <v>84</v>
      </c>
      <c r="D115" s="9" t="s">
        <v>34</v>
      </c>
      <c r="E115" s="9" t="s">
        <v>55</v>
      </c>
      <c r="F115" s="1" t="s">
        <v>56</v>
      </c>
      <c r="G115" s="1" t="s">
        <v>193</v>
      </c>
      <c r="H115" s="1" t="n">
        <v>6</v>
      </c>
      <c r="I115" s="10" t="n">
        <v>63830</v>
      </c>
      <c r="J115" s="1" t="s">
        <v>85</v>
      </c>
      <c r="K115" s="1" t="s">
        <v>86</v>
      </c>
      <c r="L115" s="1" t="s">
        <v>51</v>
      </c>
      <c r="M115" s="1" t="s">
        <v>41</v>
      </c>
      <c r="N115" s="1" t="s">
        <v>42</v>
      </c>
      <c r="O115" s="1" t="n">
        <v>14</v>
      </c>
      <c r="P115" s="9" t="s">
        <v>42</v>
      </c>
    </row>
    <row r="116" customFormat="false" ht="15" hidden="false" customHeight="false" outlineLevel="0" collapsed="false">
      <c r="A116" s="1" t="s">
        <v>222</v>
      </c>
      <c r="B116" s="8" t="n">
        <v>45911</v>
      </c>
      <c r="C116" s="1" t="s">
        <v>71</v>
      </c>
      <c r="D116" s="9" t="s">
        <v>46</v>
      </c>
      <c r="E116" s="9" t="s">
        <v>80</v>
      </c>
      <c r="F116" s="1" t="s">
        <v>88</v>
      </c>
      <c r="G116" s="1" t="s">
        <v>60</v>
      </c>
      <c r="H116" s="1" t="n">
        <v>11</v>
      </c>
      <c r="I116" s="10" t="n">
        <v>28270</v>
      </c>
      <c r="J116" s="1" t="s">
        <v>82</v>
      </c>
      <c r="K116" s="1" t="s">
        <v>73</v>
      </c>
      <c r="L116" s="1" t="s">
        <v>74</v>
      </c>
      <c r="M116" s="1" t="s">
        <v>52</v>
      </c>
      <c r="N116" s="1" t="s">
        <v>42</v>
      </c>
      <c r="O116" s="1" t="n">
        <v>7</v>
      </c>
      <c r="P116" s="9" t="s">
        <v>43</v>
      </c>
    </row>
    <row r="117" customFormat="false" ht="15" hidden="false" customHeight="false" outlineLevel="0" collapsed="false">
      <c r="A117" s="1" t="s">
        <v>223</v>
      </c>
      <c r="B117" s="8" t="n">
        <v>45926</v>
      </c>
      <c r="C117" s="1" t="s">
        <v>219</v>
      </c>
      <c r="D117" s="9" t="s">
        <v>46</v>
      </c>
      <c r="E117" s="9" t="s">
        <v>55</v>
      </c>
      <c r="F117" s="1" t="s">
        <v>56</v>
      </c>
      <c r="G117" s="1" t="s">
        <v>220</v>
      </c>
      <c r="H117" s="1" t="n">
        <v>11</v>
      </c>
      <c r="I117" s="10" t="n">
        <v>76380</v>
      </c>
      <c r="J117" s="1" t="s">
        <v>71</v>
      </c>
      <c r="K117" s="1" t="s">
        <v>78</v>
      </c>
      <c r="L117" s="1" t="s">
        <v>51</v>
      </c>
      <c r="M117" s="1" t="s">
        <v>52</v>
      </c>
      <c r="N117" s="1" t="s">
        <v>42</v>
      </c>
      <c r="O117" s="1" t="n">
        <v>7</v>
      </c>
      <c r="P117" s="9" t="s">
        <v>53</v>
      </c>
    </row>
    <row r="118" customFormat="false" ht="15" hidden="false" customHeight="false" outlineLevel="0" collapsed="false">
      <c r="A118" s="1" t="s">
        <v>224</v>
      </c>
      <c r="B118" s="8" t="n">
        <v>45732</v>
      </c>
      <c r="C118" s="1" t="s">
        <v>84</v>
      </c>
      <c r="D118" s="9" t="s">
        <v>34</v>
      </c>
      <c r="E118" s="9" t="s">
        <v>47</v>
      </c>
      <c r="F118" s="1" t="s">
        <v>192</v>
      </c>
      <c r="G118" s="1" t="s">
        <v>37</v>
      </c>
      <c r="H118" s="1" t="n">
        <v>15</v>
      </c>
      <c r="I118" s="10" t="n">
        <v>89110</v>
      </c>
      <c r="J118" s="1" t="s">
        <v>85</v>
      </c>
      <c r="K118" s="1" t="s">
        <v>86</v>
      </c>
      <c r="L118" s="1" t="s">
        <v>74</v>
      </c>
      <c r="M118" s="1" t="s">
        <v>41</v>
      </c>
      <c r="N118" s="1" t="s">
        <v>42</v>
      </c>
      <c r="O118" s="1" t="n">
        <v>14</v>
      </c>
      <c r="P118" s="9" t="s">
        <v>43</v>
      </c>
    </row>
    <row r="119" customFormat="false" ht="15" hidden="false" customHeight="false" outlineLevel="0" collapsed="false">
      <c r="A119" s="1" t="s">
        <v>225</v>
      </c>
      <c r="B119" s="8" t="n">
        <v>45745</v>
      </c>
      <c r="C119" s="1" t="s">
        <v>201</v>
      </c>
      <c r="D119" s="9" t="s">
        <v>34</v>
      </c>
      <c r="E119" s="9" t="s">
        <v>55</v>
      </c>
      <c r="F119" s="1" t="s">
        <v>56</v>
      </c>
      <c r="G119" s="1" t="s">
        <v>226</v>
      </c>
      <c r="H119" s="1" t="n">
        <v>11</v>
      </c>
      <c r="I119" s="10" t="n">
        <v>89910</v>
      </c>
      <c r="J119" s="1" t="s">
        <v>227</v>
      </c>
      <c r="K119" s="1" t="s">
        <v>203</v>
      </c>
      <c r="L119" s="1" t="s">
        <v>51</v>
      </c>
      <c r="M119" s="1" t="s">
        <v>41</v>
      </c>
      <c r="N119" s="1" t="s">
        <v>53</v>
      </c>
      <c r="O119" s="1" t="n">
        <v>14</v>
      </c>
      <c r="P119" s="9" t="s">
        <v>42</v>
      </c>
    </row>
    <row r="120" customFormat="false" ht="15" hidden="false" customHeight="false" outlineLevel="0" collapsed="false">
      <c r="A120" s="1" t="s">
        <v>228</v>
      </c>
      <c r="B120" s="8" t="n">
        <v>45865</v>
      </c>
      <c r="C120" s="1" t="s">
        <v>201</v>
      </c>
      <c r="D120" s="9" t="s">
        <v>46</v>
      </c>
      <c r="E120" s="9" t="s">
        <v>55</v>
      </c>
      <c r="F120" s="1" t="s">
        <v>48</v>
      </c>
      <c r="G120" s="1" t="s">
        <v>37</v>
      </c>
      <c r="H120" s="1" t="n">
        <v>3</v>
      </c>
      <c r="I120" s="10" t="n">
        <v>114640</v>
      </c>
      <c r="J120" s="1" t="s">
        <v>229</v>
      </c>
      <c r="K120" s="1" t="s">
        <v>203</v>
      </c>
      <c r="L120" s="1" t="s">
        <v>51</v>
      </c>
      <c r="M120" s="1" t="s">
        <v>52</v>
      </c>
      <c r="N120" s="1" t="s">
        <v>53</v>
      </c>
      <c r="O120" s="1" t="n">
        <v>7</v>
      </c>
      <c r="P120" s="9" t="s">
        <v>42</v>
      </c>
    </row>
    <row r="121" customFormat="false" ht="15" hidden="false" customHeight="false" outlineLevel="0" collapsed="false">
      <c r="A121" s="1" t="s">
        <v>230</v>
      </c>
      <c r="B121" s="8" t="n">
        <v>45880</v>
      </c>
      <c r="C121" s="1" t="s">
        <v>71</v>
      </c>
      <c r="D121" s="9" t="s">
        <v>34</v>
      </c>
      <c r="E121" s="9" t="s">
        <v>80</v>
      </c>
      <c r="F121" s="1" t="s">
        <v>231</v>
      </c>
      <c r="G121" s="1" t="s">
        <v>37</v>
      </c>
      <c r="H121" s="1" t="n">
        <v>15</v>
      </c>
      <c r="I121" s="10" t="n">
        <v>23400</v>
      </c>
      <c r="J121" s="1" t="s">
        <v>82</v>
      </c>
      <c r="K121" s="1" t="s">
        <v>73</v>
      </c>
      <c r="L121" s="1" t="s">
        <v>74</v>
      </c>
      <c r="M121" s="1" t="s">
        <v>41</v>
      </c>
      <c r="N121" s="1" t="s">
        <v>42</v>
      </c>
      <c r="O121" s="1" t="n">
        <v>14</v>
      </c>
      <c r="P121" s="9" t="s">
        <v>43</v>
      </c>
    </row>
    <row r="122" customFormat="false" ht="15" hidden="false" customHeight="false" outlineLevel="0" collapsed="false">
      <c r="A122" s="1" t="s">
        <v>232</v>
      </c>
      <c r="B122" s="8" t="n">
        <v>45706</v>
      </c>
      <c r="C122" s="1" t="s">
        <v>33</v>
      </c>
      <c r="D122" s="9" t="s">
        <v>34</v>
      </c>
      <c r="E122" s="9" t="s">
        <v>55</v>
      </c>
      <c r="F122" s="1" t="s">
        <v>192</v>
      </c>
      <c r="G122" s="1" t="s">
        <v>60</v>
      </c>
      <c r="H122" s="1" t="n">
        <v>3</v>
      </c>
      <c r="I122" s="10" t="n">
        <v>20980</v>
      </c>
      <c r="J122" s="1" t="s">
        <v>58</v>
      </c>
      <c r="K122" s="1" t="s">
        <v>39</v>
      </c>
      <c r="L122" s="1" t="s">
        <v>74</v>
      </c>
      <c r="M122" s="1" t="s">
        <v>41</v>
      </c>
      <c r="N122" s="1" t="s">
        <v>42</v>
      </c>
      <c r="O122" s="1" t="n">
        <v>14</v>
      </c>
      <c r="P122" s="9" t="s">
        <v>42</v>
      </c>
    </row>
    <row r="123" customFormat="false" ht="15" hidden="false" customHeight="false" outlineLevel="0" collapsed="false">
      <c r="A123" s="1" t="s">
        <v>233</v>
      </c>
      <c r="B123" s="8" t="n">
        <v>46003</v>
      </c>
      <c r="C123" s="1" t="s">
        <v>33</v>
      </c>
      <c r="D123" s="9" t="s">
        <v>46</v>
      </c>
      <c r="E123" s="9" t="s">
        <v>47</v>
      </c>
      <c r="F123" s="1" t="s">
        <v>36</v>
      </c>
      <c r="G123" s="1" t="s">
        <v>193</v>
      </c>
      <c r="H123" s="1" t="n">
        <v>11</v>
      </c>
      <c r="I123" s="10" t="n">
        <v>62750</v>
      </c>
      <c r="J123" s="1" t="s">
        <v>102</v>
      </c>
      <c r="K123" s="1" t="s">
        <v>39</v>
      </c>
      <c r="L123" s="1" t="s">
        <v>51</v>
      </c>
      <c r="M123" s="1" t="s">
        <v>52</v>
      </c>
      <c r="N123" s="1" t="s">
        <v>53</v>
      </c>
      <c r="O123" s="1" t="n">
        <v>7</v>
      </c>
      <c r="P123" s="9" t="s">
        <v>43</v>
      </c>
    </row>
    <row r="124" customFormat="false" ht="15" hidden="false" customHeight="false" outlineLevel="0" collapsed="false">
      <c r="A124" s="1" t="s">
        <v>234</v>
      </c>
      <c r="B124" s="8" t="n">
        <v>45900</v>
      </c>
      <c r="C124" s="1" t="s">
        <v>195</v>
      </c>
      <c r="D124" s="9" t="s">
        <v>34</v>
      </c>
      <c r="E124" s="9" t="s">
        <v>55</v>
      </c>
      <c r="F124" s="1" t="s">
        <v>231</v>
      </c>
      <c r="G124" s="1" t="s">
        <v>60</v>
      </c>
      <c r="H124" s="1" t="n">
        <v>13</v>
      </c>
      <c r="I124" s="10" t="n">
        <v>15720</v>
      </c>
      <c r="J124" s="1" t="s">
        <v>235</v>
      </c>
      <c r="K124" s="1" t="s">
        <v>197</v>
      </c>
      <c r="L124" s="1" t="s">
        <v>236</v>
      </c>
      <c r="M124" s="1" t="s">
        <v>41</v>
      </c>
      <c r="N124" s="1" t="s">
        <v>42</v>
      </c>
      <c r="O124" s="1" t="n">
        <v>14</v>
      </c>
      <c r="P124" s="9" t="s">
        <v>42</v>
      </c>
    </row>
    <row r="125" customFormat="false" ht="15" hidden="false" customHeight="false" outlineLevel="0" collapsed="false">
      <c r="A125" s="1" t="s">
        <v>237</v>
      </c>
      <c r="B125" s="8" t="n">
        <v>45877</v>
      </c>
      <c r="C125" s="1" t="s">
        <v>33</v>
      </c>
      <c r="D125" s="9" t="s">
        <v>34</v>
      </c>
      <c r="E125" s="9" t="s">
        <v>47</v>
      </c>
      <c r="F125" s="1" t="s">
        <v>207</v>
      </c>
      <c r="G125" s="1" t="s">
        <v>57</v>
      </c>
      <c r="H125" s="1" t="n">
        <v>24</v>
      </c>
      <c r="I125" s="10" t="n">
        <v>43490</v>
      </c>
      <c r="J125" s="1" t="s">
        <v>102</v>
      </c>
      <c r="K125" s="1" t="s">
        <v>39</v>
      </c>
      <c r="L125" s="1" t="s">
        <v>208</v>
      </c>
      <c r="M125" s="1" t="s">
        <v>41</v>
      </c>
      <c r="N125" s="1" t="s">
        <v>42</v>
      </c>
      <c r="O125" s="1" t="n">
        <v>14</v>
      </c>
      <c r="P125" s="9" t="s">
        <v>43</v>
      </c>
    </row>
    <row r="126" customFormat="false" ht="15" hidden="false" customHeight="false" outlineLevel="0" collapsed="false">
      <c r="A126" s="1" t="s">
        <v>238</v>
      </c>
      <c r="B126" s="8" t="n">
        <v>45678</v>
      </c>
      <c r="C126" s="1" t="s">
        <v>84</v>
      </c>
      <c r="D126" s="9" t="s">
        <v>34</v>
      </c>
      <c r="E126" s="9" t="s">
        <v>35</v>
      </c>
      <c r="F126" s="1" t="s">
        <v>199</v>
      </c>
      <c r="G126" s="1" t="s">
        <v>37</v>
      </c>
      <c r="H126" s="1" t="n">
        <v>25</v>
      </c>
      <c r="I126" s="10" t="n">
        <v>49740</v>
      </c>
      <c r="J126" s="1" t="s">
        <v>95</v>
      </c>
      <c r="K126" s="1" t="s">
        <v>86</v>
      </c>
      <c r="L126" s="1" t="s">
        <v>74</v>
      </c>
      <c r="M126" s="1" t="s">
        <v>41</v>
      </c>
      <c r="N126" s="1" t="s">
        <v>42</v>
      </c>
      <c r="O126" s="1" t="n">
        <v>14</v>
      </c>
      <c r="P126" s="9" t="s">
        <v>43</v>
      </c>
    </row>
    <row r="127" customFormat="false" ht="15" hidden="false" customHeight="false" outlineLevel="0" collapsed="false">
      <c r="A127" s="1" t="s">
        <v>239</v>
      </c>
      <c r="B127" s="8" t="n">
        <v>45663</v>
      </c>
      <c r="C127" s="1" t="s">
        <v>240</v>
      </c>
      <c r="D127" s="9" t="s">
        <v>46</v>
      </c>
      <c r="E127" s="9" t="s">
        <v>55</v>
      </c>
      <c r="F127" s="1" t="s">
        <v>36</v>
      </c>
      <c r="G127" s="1" t="s">
        <v>226</v>
      </c>
      <c r="H127" s="1" t="n">
        <v>10</v>
      </c>
      <c r="I127" s="10" t="n">
        <v>104950</v>
      </c>
      <c r="J127" s="1" t="s">
        <v>241</v>
      </c>
      <c r="K127" s="1" t="s">
        <v>242</v>
      </c>
      <c r="L127" s="1" t="s">
        <v>40</v>
      </c>
      <c r="M127" s="1" t="s">
        <v>52</v>
      </c>
      <c r="N127" s="1" t="s">
        <v>53</v>
      </c>
      <c r="O127" s="1" t="n">
        <v>7</v>
      </c>
      <c r="P127" s="9" t="s">
        <v>53</v>
      </c>
    </row>
    <row r="128" customFormat="false" ht="15" hidden="false" customHeight="false" outlineLevel="0" collapsed="false">
      <c r="A128" s="1" t="s">
        <v>243</v>
      </c>
      <c r="B128" s="8" t="n">
        <v>46019</v>
      </c>
      <c r="C128" s="1" t="s">
        <v>33</v>
      </c>
      <c r="D128" s="9" t="s">
        <v>105</v>
      </c>
      <c r="E128" s="9" t="s">
        <v>55</v>
      </c>
      <c r="F128" s="1" t="s">
        <v>207</v>
      </c>
      <c r="G128" s="1" t="s">
        <v>60</v>
      </c>
      <c r="H128" s="1" t="n">
        <v>3</v>
      </c>
      <c r="I128" s="10" t="n">
        <v>97010</v>
      </c>
      <c r="J128" s="1" t="s">
        <v>38</v>
      </c>
      <c r="K128" s="1" t="s">
        <v>39</v>
      </c>
      <c r="L128" s="1" t="s">
        <v>74</v>
      </c>
      <c r="M128" s="1" t="s">
        <v>106</v>
      </c>
      <c r="N128" s="1" t="s">
        <v>53</v>
      </c>
      <c r="O128" s="1" t="n">
        <v>3</v>
      </c>
      <c r="P128" s="9" t="s">
        <v>42</v>
      </c>
    </row>
    <row r="129" customFormat="false" ht="15" hidden="false" customHeight="false" outlineLevel="0" collapsed="false">
      <c r="A129" s="1" t="s">
        <v>244</v>
      </c>
      <c r="B129" s="8" t="n">
        <v>45888</v>
      </c>
      <c r="C129" s="1" t="s">
        <v>71</v>
      </c>
      <c r="D129" s="9" t="s">
        <v>34</v>
      </c>
      <c r="E129" s="9" t="s">
        <v>55</v>
      </c>
      <c r="F129" s="1" t="s">
        <v>36</v>
      </c>
      <c r="G129" s="1" t="s">
        <v>60</v>
      </c>
      <c r="H129" s="1" t="n">
        <v>9</v>
      </c>
      <c r="I129" s="10" t="n">
        <v>28390</v>
      </c>
      <c r="J129" s="1" t="s">
        <v>125</v>
      </c>
      <c r="K129" s="1" t="s">
        <v>73</v>
      </c>
      <c r="L129" s="1" t="s">
        <v>69</v>
      </c>
      <c r="M129" s="1" t="s">
        <v>41</v>
      </c>
      <c r="N129" s="1" t="s">
        <v>42</v>
      </c>
      <c r="O129" s="1" t="n">
        <v>14</v>
      </c>
      <c r="P129" s="9" t="s">
        <v>42</v>
      </c>
    </row>
    <row r="130" customFormat="false" ht="15" hidden="false" customHeight="false" outlineLevel="0" collapsed="false">
      <c r="A130" s="1" t="s">
        <v>245</v>
      </c>
      <c r="B130" s="8" t="n">
        <v>45671</v>
      </c>
      <c r="C130" s="1" t="s">
        <v>201</v>
      </c>
      <c r="D130" s="9" t="s">
        <v>46</v>
      </c>
      <c r="E130" s="9" t="s">
        <v>55</v>
      </c>
      <c r="F130" s="1" t="s">
        <v>192</v>
      </c>
      <c r="G130" s="1" t="s">
        <v>226</v>
      </c>
      <c r="H130" s="1" t="n">
        <v>7</v>
      </c>
      <c r="I130" s="10" t="n">
        <v>125330</v>
      </c>
      <c r="J130" s="1" t="s">
        <v>227</v>
      </c>
      <c r="K130" s="1" t="s">
        <v>203</v>
      </c>
      <c r="L130" s="1" t="s">
        <v>74</v>
      </c>
      <c r="M130" s="1" t="s">
        <v>52</v>
      </c>
      <c r="N130" s="1" t="s">
        <v>53</v>
      </c>
      <c r="O130" s="1" t="n">
        <v>7</v>
      </c>
      <c r="P130" s="9" t="s">
        <v>42</v>
      </c>
    </row>
    <row r="131" customFormat="false" ht="15" hidden="false" customHeight="false" outlineLevel="0" collapsed="false">
      <c r="A131" s="1" t="s">
        <v>246</v>
      </c>
      <c r="B131" s="8" t="n">
        <v>46000</v>
      </c>
      <c r="C131" s="1" t="s">
        <v>219</v>
      </c>
      <c r="D131" s="9" t="s">
        <v>34</v>
      </c>
      <c r="E131" s="9" t="s">
        <v>47</v>
      </c>
      <c r="F131" s="1" t="s">
        <v>88</v>
      </c>
      <c r="G131" s="1" t="s">
        <v>193</v>
      </c>
      <c r="H131" s="1" t="n">
        <v>23</v>
      </c>
      <c r="I131" s="10" t="n">
        <v>45900</v>
      </c>
      <c r="J131" s="1" t="s">
        <v>247</v>
      </c>
      <c r="K131" s="1" t="s">
        <v>78</v>
      </c>
      <c r="L131" s="1" t="s">
        <v>40</v>
      </c>
      <c r="M131" s="1" t="s">
        <v>41</v>
      </c>
      <c r="N131" s="1" t="s">
        <v>42</v>
      </c>
      <c r="O131" s="1" t="n">
        <v>14</v>
      </c>
      <c r="P131" s="9" t="s">
        <v>43</v>
      </c>
    </row>
    <row r="132" customFormat="false" ht="15" hidden="false" customHeight="false" outlineLevel="0" collapsed="false">
      <c r="A132" s="1" t="s">
        <v>248</v>
      </c>
      <c r="B132" s="8" t="n">
        <v>45817</v>
      </c>
      <c r="C132" s="1" t="s">
        <v>240</v>
      </c>
      <c r="D132" s="9" t="s">
        <v>105</v>
      </c>
      <c r="E132" s="9" t="s">
        <v>55</v>
      </c>
      <c r="F132" s="1" t="s">
        <v>56</v>
      </c>
      <c r="G132" s="1" t="s">
        <v>99</v>
      </c>
      <c r="H132" s="1" t="n">
        <v>4</v>
      </c>
      <c r="I132" s="10" t="n">
        <v>245560</v>
      </c>
      <c r="J132" s="1" t="s">
        <v>241</v>
      </c>
      <c r="K132" s="1" t="s">
        <v>242</v>
      </c>
      <c r="L132" s="1" t="s">
        <v>74</v>
      </c>
      <c r="M132" s="1" t="s">
        <v>106</v>
      </c>
      <c r="N132" s="1" t="s">
        <v>53</v>
      </c>
      <c r="O132" s="1" t="n">
        <v>3</v>
      </c>
      <c r="P132" s="9" t="s">
        <v>53</v>
      </c>
    </row>
    <row r="133" customFormat="false" ht="15" hidden="false" customHeight="false" outlineLevel="0" collapsed="false">
      <c r="A133" s="1" t="s">
        <v>249</v>
      </c>
      <c r="B133" s="8" t="n">
        <v>45773</v>
      </c>
      <c r="C133" s="1" t="s">
        <v>45</v>
      </c>
      <c r="D133" s="9" t="s">
        <v>46</v>
      </c>
      <c r="E133" s="9" t="s">
        <v>55</v>
      </c>
      <c r="F133" s="1" t="s">
        <v>36</v>
      </c>
      <c r="G133" s="1" t="s">
        <v>57</v>
      </c>
      <c r="H133" s="1" t="n">
        <v>5</v>
      </c>
      <c r="I133" s="10" t="n">
        <v>30080</v>
      </c>
      <c r="J133" s="1" t="s">
        <v>250</v>
      </c>
      <c r="K133" s="1" t="s">
        <v>50</v>
      </c>
      <c r="L133" s="1" t="s">
        <v>51</v>
      </c>
      <c r="M133" s="1" t="s">
        <v>52</v>
      </c>
      <c r="N133" s="1" t="s">
        <v>42</v>
      </c>
      <c r="O133" s="1" t="n">
        <v>7</v>
      </c>
      <c r="P133" s="9" t="s">
        <v>42</v>
      </c>
    </row>
    <row r="134" customFormat="false" ht="15" hidden="false" customHeight="false" outlineLevel="0" collapsed="false">
      <c r="A134" s="1" t="s">
        <v>251</v>
      </c>
      <c r="B134" s="8" t="n">
        <v>45847</v>
      </c>
      <c r="C134" s="1" t="s">
        <v>71</v>
      </c>
      <c r="D134" s="9" t="s">
        <v>67</v>
      </c>
      <c r="E134" s="9" t="s">
        <v>47</v>
      </c>
      <c r="F134" s="1" t="s">
        <v>56</v>
      </c>
      <c r="G134" s="1" t="s">
        <v>60</v>
      </c>
      <c r="H134" s="1" t="n">
        <v>28</v>
      </c>
      <c r="I134" s="10" t="n">
        <v>7810</v>
      </c>
      <c r="J134" s="1" t="s">
        <v>82</v>
      </c>
      <c r="K134" s="1" t="s">
        <v>73</v>
      </c>
      <c r="L134" s="1" t="s">
        <v>137</v>
      </c>
      <c r="M134" s="1" t="s">
        <v>69</v>
      </c>
      <c r="N134" s="1" t="s">
        <v>42</v>
      </c>
      <c r="O134" s="1" t="n">
        <v>30</v>
      </c>
      <c r="P134" s="9" t="s">
        <v>43</v>
      </c>
    </row>
    <row r="135" customFormat="false" ht="15" hidden="false" customHeight="false" outlineLevel="0" collapsed="false">
      <c r="A135" s="1" t="s">
        <v>252</v>
      </c>
      <c r="B135" s="8" t="n">
        <v>45826</v>
      </c>
      <c r="C135" s="1" t="s">
        <v>210</v>
      </c>
      <c r="D135" s="9" t="s">
        <v>46</v>
      </c>
      <c r="E135" s="9" t="s">
        <v>80</v>
      </c>
      <c r="F135" s="1" t="s">
        <v>48</v>
      </c>
      <c r="G135" s="1" t="s">
        <v>37</v>
      </c>
      <c r="H135" s="1" t="n">
        <v>6</v>
      </c>
      <c r="I135" s="10" t="n">
        <v>75750</v>
      </c>
      <c r="J135" s="1" t="s">
        <v>211</v>
      </c>
      <c r="K135" s="1" t="s">
        <v>212</v>
      </c>
      <c r="L135" s="1" t="s">
        <v>65</v>
      </c>
      <c r="M135" s="1" t="s">
        <v>52</v>
      </c>
      <c r="N135" s="1" t="s">
        <v>42</v>
      </c>
      <c r="O135" s="1" t="n">
        <v>7</v>
      </c>
      <c r="P135" s="9" t="s">
        <v>43</v>
      </c>
    </row>
    <row r="136" customFormat="false" ht="15" hidden="false" customHeight="false" outlineLevel="0" collapsed="false">
      <c r="A136" s="1" t="s">
        <v>253</v>
      </c>
      <c r="B136" s="8" t="n">
        <v>45833</v>
      </c>
      <c r="C136" s="1" t="s">
        <v>33</v>
      </c>
      <c r="D136" s="9" t="s">
        <v>34</v>
      </c>
      <c r="E136" s="9" t="s">
        <v>55</v>
      </c>
      <c r="F136" s="1" t="s">
        <v>90</v>
      </c>
      <c r="G136" s="1" t="s">
        <v>57</v>
      </c>
      <c r="H136" s="1" t="n">
        <v>14</v>
      </c>
      <c r="I136" s="10" t="n">
        <v>35650</v>
      </c>
      <c r="J136" s="1" t="s">
        <v>58</v>
      </c>
      <c r="K136" s="1" t="s">
        <v>39</v>
      </c>
      <c r="L136" s="1" t="s">
        <v>74</v>
      </c>
      <c r="M136" s="1" t="s">
        <v>41</v>
      </c>
      <c r="N136" s="1" t="s">
        <v>42</v>
      </c>
      <c r="O136" s="1" t="n">
        <v>14</v>
      </c>
      <c r="P136" s="9" t="s">
        <v>42</v>
      </c>
    </row>
    <row r="137" customFormat="false" ht="15" hidden="false" customHeight="false" outlineLevel="0" collapsed="false">
      <c r="A137" s="1" t="s">
        <v>254</v>
      </c>
      <c r="B137" s="8" t="n">
        <v>45824</v>
      </c>
      <c r="C137" s="1" t="s">
        <v>240</v>
      </c>
      <c r="D137" s="9" t="s">
        <v>34</v>
      </c>
      <c r="E137" s="9" t="s">
        <v>55</v>
      </c>
      <c r="F137" s="1" t="s">
        <v>88</v>
      </c>
      <c r="G137" s="1" t="s">
        <v>99</v>
      </c>
      <c r="H137" s="1" t="n">
        <v>14</v>
      </c>
      <c r="I137" s="10" t="n">
        <v>40990</v>
      </c>
      <c r="J137" s="1" t="s">
        <v>255</v>
      </c>
      <c r="K137" s="1" t="s">
        <v>242</v>
      </c>
      <c r="L137" s="1" t="s">
        <v>40</v>
      </c>
      <c r="M137" s="1" t="s">
        <v>41</v>
      </c>
      <c r="N137" s="1" t="s">
        <v>53</v>
      </c>
      <c r="O137" s="1" t="n">
        <v>14</v>
      </c>
      <c r="P137" s="9" t="s">
        <v>42</v>
      </c>
    </row>
    <row r="138" customFormat="false" ht="15" hidden="false" customHeight="false" outlineLevel="0" collapsed="false">
      <c r="A138" s="1" t="s">
        <v>256</v>
      </c>
      <c r="B138" s="8" t="n">
        <v>45947</v>
      </c>
      <c r="C138" s="1" t="s">
        <v>71</v>
      </c>
      <c r="D138" s="9" t="s">
        <v>34</v>
      </c>
      <c r="E138" s="9" t="s">
        <v>55</v>
      </c>
      <c r="F138" s="1" t="s">
        <v>199</v>
      </c>
      <c r="G138" s="1" t="s">
        <v>57</v>
      </c>
      <c r="H138" s="1" t="n">
        <v>19</v>
      </c>
      <c r="I138" s="10" t="n">
        <v>25990</v>
      </c>
      <c r="J138" s="1" t="s">
        <v>125</v>
      </c>
      <c r="K138" s="1" t="s">
        <v>73</v>
      </c>
      <c r="L138" s="1" t="s">
        <v>40</v>
      </c>
      <c r="M138" s="1" t="s">
        <v>41</v>
      </c>
      <c r="N138" s="1" t="s">
        <v>42</v>
      </c>
      <c r="O138" s="1" t="n">
        <v>14</v>
      </c>
      <c r="P138" s="9" t="s">
        <v>53</v>
      </c>
    </row>
    <row r="139" customFormat="false" ht="15" hidden="false" customHeight="false" outlineLevel="0" collapsed="false">
      <c r="A139" s="1" t="s">
        <v>257</v>
      </c>
      <c r="B139" s="8" t="n">
        <v>45783</v>
      </c>
      <c r="C139" s="1" t="s">
        <v>219</v>
      </c>
      <c r="D139" s="9" t="s">
        <v>46</v>
      </c>
      <c r="E139" s="9" t="s">
        <v>55</v>
      </c>
      <c r="F139" s="1" t="s">
        <v>231</v>
      </c>
      <c r="G139" s="1" t="s">
        <v>193</v>
      </c>
      <c r="H139" s="1" t="n">
        <v>9</v>
      </c>
      <c r="I139" s="10" t="n">
        <v>108810</v>
      </c>
      <c r="J139" s="1" t="s">
        <v>71</v>
      </c>
      <c r="K139" s="1" t="s">
        <v>78</v>
      </c>
      <c r="L139" s="1" t="s">
        <v>40</v>
      </c>
      <c r="M139" s="1" t="s">
        <v>52</v>
      </c>
      <c r="N139" s="1" t="s">
        <v>42</v>
      </c>
      <c r="O139" s="1" t="n">
        <v>7</v>
      </c>
      <c r="P139" s="9" t="s">
        <v>53</v>
      </c>
    </row>
    <row r="140" customFormat="false" ht="15" hidden="false" customHeight="false" outlineLevel="0" collapsed="false">
      <c r="A140" s="1" t="s">
        <v>258</v>
      </c>
      <c r="B140" s="8" t="n">
        <v>45864</v>
      </c>
      <c r="C140" s="1" t="s">
        <v>45</v>
      </c>
      <c r="D140" s="9" t="s">
        <v>34</v>
      </c>
      <c r="E140" s="9" t="s">
        <v>80</v>
      </c>
      <c r="F140" s="1" t="s">
        <v>36</v>
      </c>
      <c r="G140" s="1" t="s">
        <v>242</v>
      </c>
      <c r="H140" s="1" t="n">
        <v>21</v>
      </c>
      <c r="I140" s="10" t="n">
        <v>28230</v>
      </c>
      <c r="J140" s="1" t="s">
        <v>250</v>
      </c>
      <c r="K140" s="1" t="s">
        <v>50</v>
      </c>
      <c r="L140" s="1" t="s">
        <v>51</v>
      </c>
      <c r="M140" s="1" t="s">
        <v>41</v>
      </c>
      <c r="N140" s="1" t="s">
        <v>53</v>
      </c>
      <c r="O140" s="1" t="n">
        <v>14</v>
      </c>
      <c r="P140" s="9" t="s">
        <v>43</v>
      </c>
    </row>
    <row r="141" customFormat="false" ht="15" hidden="false" customHeight="false" outlineLevel="0" collapsed="false">
      <c r="A141" s="1" t="s">
        <v>259</v>
      </c>
      <c r="B141" s="8" t="n">
        <v>45995</v>
      </c>
      <c r="C141" s="1" t="s">
        <v>45</v>
      </c>
      <c r="D141" s="9" t="s">
        <v>34</v>
      </c>
      <c r="E141" s="9" t="s">
        <v>55</v>
      </c>
      <c r="F141" s="1" t="s">
        <v>36</v>
      </c>
      <c r="G141" s="1" t="s">
        <v>99</v>
      </c>
      <c r="H141" s="1" t="n">
        <v>16</v>
      </c>
      <c r="I141" s="10" t="n">
        <v>29770</v>
      </c>
      <c r="J141" s="1" t="s">
        <v>49</v>
      </c>
      <c r="K141" s="1" t="s">
        <v>50</v>
      </c>
      <c r="L141" s="1" t="s">
        <v>40</v>
      </c>
      <c r="M141" s="1" t="s">
        <v>41</v>
      </c>
      <c r="N141" s="1" t="s">
        <v>42</v>
      </c>
      <c r="O141" s="1" t="n">
        <v>14</v>
      </c>
      <c r="P141" s="9" t="s">
        <v>53</v>
      </c>
    </row>
    <row r="142" customFormat="false" ht="15" hidden="false" customHeight="false" outlineLevel="0" collapsed="false">
      <c r="A142" s="1" t="s">
        <v>260</v>
      </c>
      <c r="B142" s="8" t="n">
        <v>45698</v>
      </c>
      <c r="C142" s="1" t="s">
        <v>240</v>
      </c>
      <c r="D142" s="9" t="s">
        <v>67</v>
      </c>
      <c r="E142" s="9" t="s">
        <v>55</v>
      </c>
      <c r="F142" s="1" t="s">
        <v>231</v>
      </c>
      <c r="G142" s="1" t="s">
        <v>242</v>
      </c>
      <c r="H142" s="1" t="n">
        <v>20</v>
      </c>
      <c r="I142" s="10" t="n">
        <v>35420</v>
      </c>
      <c r="J142" s="1" t="s">
        <v>241</v>
      </c>
      <c r="K142" s="1" t="s">
        <v>242</v>
      </c>
      <c r="L142" s="1" t="s">
        <v>40</v>
      </c>
      <c r="M142" s="1" t="s">
        <v>69</v>
      </c>
      <c r="N142" s="1" t="s">
        <v>53</v>
      </c>
      <c r="O142" s="1" t="n">
        <v>30</v>
      </c>
      <c r="P142" s="9" t="s">
        <v>42</v>
      </c>
    </row>
    <row r="143" customFormat="false" ht="15" hidden="false" customHeight="false" outlineLevel="0" collapsed="false">
      <c r="A143" s="1" t="s">
        <v>261</v>
      </c>
      <c r="B143" s="8" t="n">
        <v>45729</v>
      </c>
      <c r="C143" s="1" t="s">
        <v>76</v>
      </c>
      <c r="D143" s="9" t="s">
        <v>34</v>
      </c>
      <c r="E143" s="9" t="s">
        <v>55</v>
      </c>
      <c r="F143" s="1" t="s">
        <v>88</v>
      </c>
      <c r="G143" s="1" t="s">
        <v>60</v>
      </c>
      <c r="H143" s="1" t="n">
        <v>13</v>
      </c>
      <c r="I143" s="10" t="n">
        <v>52340</v>
      </c>
      <c r="J143" s="1" t="s">
        <v>93</v>
      </c>
      <c r="K143" s="1" t="s">
        <v>78</v>
      </c>
      <c r="L143" s="1" t="s">
        <v>51</v>
      </c>
      <c r="M143" s="1" t="s">
        <v>41</v>
      </c>
      <c r="N143" s="1" t="s">
        <v>42</v>
      </c>
      <c r="O143" s="1" t="n">
        <v>14</v>
      </c>
      <c r="P143" s="9" t="s">
        <v>42</v>
      </c>
    </row>
    <row r="144" customFormat="false" ht="15" hidden="false" customHeight="false" outlineLevel="0" collapsed="false">
      <c r="A144" s="1" t="s">
        <v>262</v>
      </c>
      <c r="B144" s="8" t="n">
        <v>45707</v>
      </c>
      <c r="C144" s="1" t="s">
        <v>71</v>
      </c>
      <c r="D144" s="9" t="s">
        <v>34</v>
      </c>
      <c r="E144" s="9" t="s">
        <v>55</v>
      </c>
      <c r="F144" s="1" t="s">
        <v>36</v>
      </c>
      <c r="G144" s="1" t="s">
        <v>37</v>
      </c>
      <c r="H144" s="1" t="n">
        <v>1</v>
      </c>
      <c r="I144" s="10" t="n">
        <v>19310</v>
      </c>
      <c r="J144" s="1" t="s">
        <v>125</v>
      </c>
      <c r="K144" s="1" t="s">
        <v>73</v>
      </c>
      <c r="L144" s="1" t="s">
        <v>40</v>
      </c>
      <c r="M144" s="1" t="s">
        <v>41</v>
      </c>
      <c r="N144" s="1" t="s">
        <v>42</v>
      </c>
      <c r="O144" s="1" t="n">
        <v>14</v>
      </c>
      <c r="P144" s="9" t="s">
        <v>42</v>
      </c>
    </row>
    <row r="145" customFormat="false" ht="15" hidden="false" customHeight="false" outlineLevel="0" collapsed="false">
      <c r="A145" s="1" t="s">
        <v>263</v>
      </c>
      <c r="B145" s="8" t="n">
        <v>45814</v>
      </c>
      <c r="C145" s="1" t="s">
        <v>33</v>
      </c>
      <c r="D145" s="9" t="s">
        <v>34</v>
      </c>
      <c r="E145" s="9" t="s">
        <v>55</v>
      </c>
      <c r="F145" s="1" t="s">
        <v>90</v>
      </c>
      <c r="G145" s="1" t="s">
        <v>193</v>
      </c>
      <c r="H145" s="1" t="n">
        <v>6</v>
      </c>
      <c r="I145" s="10" t="n">
        <v>43540</v>
      </c>
      <c r="J145" s="1" t="s">
        <v>102</v>
      </c>
      <c r="K145" s="1" t="s">
        <v>39</v>
      </c>
      <c r="L145" s="1" t="s">
        <v>74</v>
      </c>
      <c r="M145" s="1" t="s">
        <v>41</v>
      </c>
      <c r="N145" s="1" t="s">
        <v>42</v>
      </c>
      <c r="O145" s="1" t="n">
        <v>14</v>
      </c>
      <c r="P145" s="9" t="s">
        <v>42</v>
      </c>
    </row>
    <row r="146" customFormat="false" ht="15" hidden="false" customHeight="false" outlineLevel="0" collapsed="false">
      <c r="A146" s="1" t="s">
        <v>264</v>
      </c>
      <c r="B146" s="8" t="n">
        <v>45826</v>
      </c>
      <c r="C146" s="1" t="s">
        <v>45</v>
      </c>
      <c r="D146" s="9" t="s">
        <v>34</v>
      </c>
      <c r="E146" s="9" t="s">
        <v>47</v>
      </c>
      <c r="F146" s="1" t="s">
        <v>199</v>
      </c>
      <c r="G146" s="1" t="s">
        <v>57</v>
      </c>
      <c r="H146" s="1" t="n">
        <v>26</v>
      </c>
      <c r="I146" s="10" t="n">
        <v>28600</v>
      </c>
      <c r="J146" s="1" t="s">
        <v>49</v>
      </c>
      <c r="K146" s="1" t="s">
        <v>50</v>
      </c>
      <c r="L146" s="1" t="s">
        <v>74</v>
      </c>
      <c r="M146" s="1" t="s">
        <v>41</v>
      </c>
      <c r="N146" s="1" t="s">
        <v>42</v>
      </c>
      <c r="O146" s="1" t="n">
        <v>14</v>
      </c>
      <c r="P146" s="9" t="s">
        <v>43</v>
      </c>
    </row>
    <row r="147" customFormat="false" ht="15" hidden="false" customHeight="false" outlineLevel="0" collapsed="false">
      <c r="A147" s="1" t="s">
        <v>265</v>
      </c>
      <c r="B147" s="8" t="n">
        <v>45887</v>
      </c>
      <c r="C147" s="1" t="s">
        <v>62</v>
      </c>
      <c r="D147" s="9" t="s">
        <v>105</v>
      </c>
      <c r="E147" s="9" t="s">
        <v>80</v>
      </c>
      <c r="F147" s="1" t="s">
        <v>88</v>
      </c>
      <c r="G147" s="1" t="s">
        <v>60</v>
      </c>
      <c r="H147" s="1" t="n">
        <v>4</v>
      </c>
      <c r="I147" s="10" t="n">
        <v>161640</v>
      </c>
      <c r="J147" s="1" t="s">
        <v>127</v>
      </c>
      <c r="K147" s="1" t="s">
        <v>64</v>
      </c>
      <c r="L147" s="1" t="s">
        <v>74</v>
      </c>
      <c r="M147" s="1" t="s">
        <v>106</v>
      </c>
      <c r="N147" s="1" t="s">
        <v>53</v>
      </c>
      <c r="O147" s="1" t="n">
        <v>3</v>
      </c>
      <c r="P147" s="9" t="s">
        <v>43</v>
      </c>
    </row>
    <row r="148" customFormat="false" ht="15" hidden="false" customHeight="false" outlineLevel="0" collapsed="false">
      <c r="A148" s="1" t="s">
        <v>266</v>
      </c>
      <c r="B148" s="8" t="n">
        <v>45813</v>
      </c>
      <c r="C148" s="1" t="s">
        <v>33</v>
      </c>
      <c r="D148" s="9" t="s">
        <v>105</v>
      </c>
      <c r="E148" s="9" t="s">
        <v>55</v>
      </c>
      <c r="F148" s="1" t="s">
        <v>192</v>
      </c>
      <c r="G148" s="1" t="s">
        <v>57</v>
      </c>
      <c r="H148" s="1" t="n">
        <v>4</v>
      </c>
      <c r="I148" s="10" t="n">
        <v>60730</v>
      </c>
      <c r="J148" s="1" t="s">
        <v>38</v>
      </c>
      <c r="K148" s="1" t="s">
        <v>39</v>
      </c>
      <c r="L148" s="1" t="s">
        <v>51</v>
      </c>
      <c r="M148" s="1" t="s">
        <v>106</v>
      </c>
      <c r="N148" s="1" t="s">
        <v>53</v>
      </c>
      <c r="O148" s="1" t="n">
        <v>3</v>
      </c>
      <c r="P148" s="9" t="s">
        <v>53</v>
      </c>
    </row>
    <row r="149" customFormat="false" ht="15" hidden="false" customHeight="false" outlineLevel="0" collapsed="false">
      <c r="A149" s="1" t="s">
        <v>267</v>
      </c>
      <c r="B149" s="8" t="n">
        <v>45877</v>
      </c>
      <c r="C149" s="1" t="s">
        <v>240</v>
      </c>
      <c r="D149" s="9" t="s">
        <v>46</v>
      </c>
      <c r="E149" s="9" t="s">
        <v>55</v>
      </c>
      <c r="F149" s="1" t="s">
        <v>207</v>
      </c>
      <c r="G149" s="1" t="s">
        <v>226</v>
      </c>
      <c r="H149" s="1" t="n">
        <v>10</v>
      </c>
      <c r="I149" s="10" t="n">
        <v>119310</v>
      </c>
      <c r="J149" s="1" t="s">
        <v>241</v>
      </c>
      <c r="K149" s="1" t="s">
        <v>242</v>
      </c>
      <c r="L149" s="1" t="s">
        <v>51</v>
      </c>
      <c r="M149" s="1" t="s">
        <v>52</v>
      </c>
      <c r="N149" s="1" t="s">
        <v>53</v>
      </c>
      <c r="O149" s="1" t="n">
        <v>7</v>
      </c>
      <c r="P149" s="9" t="s">
        <v>53</v>
      </c>
    </row>
    <row r="150" customFormat="false" ht="15" hidden="false" customHeight="false" outlineLevel="0" collapsed="false">
      <c r="A150" s="1" t="s">
        <v>268</v>
      </c>
      <c r="B150" s="8" t="n">
        <v>45808</v>
      </c>
      <c r="C150" s="1" t="s">
        <v>240</v>
      </c>
      <c r="D150" s="9" t="s">
        <v>46</v>
      </c>
      <c r="E150" s="9" t="s">
        <v>55</v>
      </c>
      <c r="F150" s="1" t="s">
        <v>192</v>
      </c>
      <c r="G150" s="1" t="s">
        <v>99</v>
      </c>
      <c r="H150" s="1" t="n">
        <v>10</v>
      </c>
      <c r="I150" s="10" t="n">
        <v>97450</v>
      </c>
      <c r="J150" s="1" t="s">
        <v>241</v>
      </c>
      <c r="K150" s="1" t="s">
        <v>242</v>
      </c>
      <c r="L150" s="1" t="s">
        <v>74</v>
      </c>
      <c r="M150" s="1" t="s">
        <v>52</v>
      </c>
      <c r="N150" s="1" t="s">
        <v>53</v>
      </c>
      <c r="O150" s="1" t="n">
        <v>7</v>
      </c>
      <c r="P150" s="9" t="s">
        <v>53</v>
      </c>
    </row>
    <row r="151" customFormat="false" ht="15" hidden="false" customHeight="false" outlineLevel="0" collapsed="false">
      <c r="A151" s="1" t="s">
        <v>269</v>
      </c>
      <c r="B151" s="8" t="n">
        <v>45962</v>
      </c>
      <c r="C151" s="1" t="s">
        <v>219</v>
      </c>
      <c r="D151" s="9" t="s">
        <v>67</v>
      </c>
      <c r="E151" s="9" t="s">
        <v>55</v>
      </c>
      <c r="F151" s="1" t="s">
        <v>199</v>
      </c>
      <c r="G151" s="1" t="s">
        <v>193</v>
      </c>
      <c r="H151" s="1" t="n">
        <v>17</v>
      </c>
      <c r="I151" s="10" t="n">
        <v>33510</v>
      </c>
      <c r="J151" s="1" t="s">
        <v>247</v>
      </c>
      <c r="K151" s="1" t="s">
        <v>78</v>
      </c>
      <c r="L151" s="1" t="s">
        <v>69</v>
      </c>
      <c r="M151" s="1" t="s">
        <v>69</v>
      </c>
      <c r="N151" s="1" t="s">
        <v>42</v>
      </c>
      <c r="O151" s="1" t="n">
        <v>30</v>
      </c>
      <c r="P151" s="9" t="s">
        <v>42</v>
      </c>
    </row>
    <row r="152" customFormat="false" ht="15" hidden="false" customHeight="false" outlineLevel="0" collapsed="false">
      <c r="A152" s="1" t="s">
        <v>270</v>
      </c>
      <c r="B152" s="8" t="n">
        <v>45826</v>
      </c>
      <c r="C152" s="1" t="s">
        <v>210</v>
      </c>
      <c r="D152" s="9" t="s">
        <v>46</v>
      </c>
      <c r="E152" s="9" t="s">
        <v>55</v>
      </c>
      <c r="F152" s="1" t="s">
        <v>199</v>
      </c>
      <c r="G152" s="1" t="s">
        <v>226</v>
      </c>
      <c r="H152" s="1" t="n">
        <v>11</v>
      </c>
      <c r="I152" s="10" t="n">
        <v>115560</v>
      </c>
      <c r="J152" s="1" t="s">
        <v>211</v>
      </c>
      <c r="K152" s="1" t="s">
        <v>212</v>
      </c>
      <c r="L152" s="1" t="s">
        <v>69</v>
      </c>
      <c r="M152" s="1" t="s">
        <v>52</v>
      </c>
      <c r="N152" s="1" t="s">
        <v>42</v>
      </c>
      <c r="O152" s="1" t="n">
        <v>7</v>
      </c>
      <c r="P152" s="9" t="s">
        <v>53</v>
      </c>
    </row>
    <row r="153" customFormat="false" ht="15" hidden="false" customHeight="false" outlineLevel="0" collapsed="false">
      <c r="A153" s="1" t="s">
        <v>271</v>
      </c>
      <c r="B153" s="8" t="n">
        <v>45711</v>
      </c>
      <c r="C153" s="1" t="s">
        <v>240</v>
      </c>
      <c r="D153" s="9" t="s">
        <v>105</v>
      </c>
      <c r="E153" s="9" t="s">
        <v>55</v>
      </c>
      <c r="F153" s="1" t="s">
        <v>207</v>
      </c>
      <c r="G153" s="1" t="s">
        <v>99</v>
      </c>
      <c r="H153" s="1" t="n">
        <v>5</v>
      </c>
      <c r="I153" s="10" t="n">
        <v>209090</v>
      </c>
      <c r="J153" s="1" t="s">
        <v>255</v>
      </c>
      <c r="K153" s="1" t="s">
        <v>242</v>
      </c>
      <c r="L153" s="1" t="s">
        <v>208</v>
      </c>
      <c r="M153" s="1" t="s">
        <v>106</v>
      </c>
      <c r="N153" s="1" t="s">
        <v>53</v>
      </c>
      <c r="O153" s="1" t="n">
        <v>3</v>
      </c>
      <c r="P153" s="9" t="s">
        <v>53</v>
      </c>
    </row>
    <row r="154" customFormat="false" ht="15" hidden="false" customHeight="false" outlineLevel="0" collapsed="false">
      <c r="A154" s="1" t="s">
        <v>272</v>
      </c>
      <c r="B154" s="8" t="n">
        <v>45742</v>
      </c>
      <c r="C154" s="1" t="s">
        <v>240</v>
      </c>
      <c r="D154" s="9" t="s">
        <v>67</v>
      </c>
      <c r="E154" s="9" t="s">
        <v>35</v>
      </c>
      <c r="F154" s="1" t="s">
        <v>90</v>
      </c>
      <c r="G154" s="1" t="s">
        <v>226</v>
      </c>
      <c r="H154" s="1" t="n">
        <v>42</v>
      </c>
      <c r="I154" s="10" t="n">
        <v>23040</v>
      </c>
      <c r="J154" s="1" t="s">
        <v>241</v>
      </c>
      <c r="K154" s="1" t="s">
        <v>242</v>
      </c>
      <c r="L154" s="1" t="s">
        <v>40</v>
      </c>
      <c r="M154" s="1" t="s">
        <v>69</v>
      </c>
      <c r="N154" s="1" t="s">
        <v>53</v>
      </c>
      <c r="O154" s="1" t="n">
        <v>30</v>
      </c>
      <c r="P154" s="9" t="s">
        <v>43</v>
      </c>
    </row>
    <row r="155" customFormat="false" ht="15" hidden="false" customHeight="false" outlineLevel="0" collapsed="false">
      <c r="A155" s="1" t="s">
        <v>273</v>
      </c>
      <c r="B155" s="8" t="n">
        <v>45969</v>
      </c>
      <c r="C155" s="1" t="s">
        <v>219</v>
      </c>
      <c r="D155" s="9" t="s">
        <v>34</v>
      </c>
      <c r="E155" s="9" t="s">
        <v>55</v>
      </c>
      <c r="F155" s="1" t="s">
        <v>192</v>
      </c>
      <c r="G155" s="1" t="s">
        <v>193</v>
      </c>
      <c r="H155" s="1" t="n">
        <v>3</v>
      </c>
      <c r="I155" s="10" t="n">
        <v>53260</v>
      </c>
      <c r="J155" s="1" t="s">
        <v>71</v>
      </c>
      <c r="K155" s="1" t="s">
        <v>78</v>
      </c>
      <c r="L155" s="1" t="s">
        <v>208</v>
      </c>
      <c r="M155" s="1" t="s">
        <v>41</v>
      </c>
      <c r="N155" s="1" t="s">
        <v>53</v>
      </c>
      <c r="O155" s="1" t="n">
        <v>14</v>
      </c>
      <c r="P155" s="9" t="s">
        <v>42</v>
      </c>
    </row>
    <row r="156" customFormat="false" ht="15" hidden="false" customHeight="false" outlineLevel="0" collapsed="false">
      <c r="A156" s="1" t="s">
        <v>274</v>
      </c>
      <c r="B156" s="8" t="n">
        <v>45670</v>
      </c>
      <c r="C156" s="1" t="s">
        <v>76</v>
      </c>
      <c r="D156" s="9" t="s">
        <v>46</v>
      </c>
      <c r="E156" s="9" t="s">
        <v>55</v>
      </c>
      <c r="F156" s="1" t="s">
        <v>48</v>
      </c>
      <c r="G156" s="1" t="s">
        <v>60</v>
      </c>
      <c r="H156" s="1" t="n">
        <v>7</v>
      </c>
      <c r="I156" s="10" t="n">
        <v>103200</v>
      </c>
      <c r="J156" s="1" t="s">
        <v>77</v>
      </c>
      <c r="K156" s="1" t="s">
        <v>78</v>
      </c>
      <c r="L156" s="1" t="s">
        <v>65</v>
      </c>
      <c r="M156" s="1" t="s">
        <v>52</v>
      </c>
      <c r="N156" s="1" t="s">
        <v>42</v>
      </c>
      <c r="O156" s="1" t="n">
        <v>7</v>
      </c>
      <c r="P156" s="9" t="s">
        <v>42</v>
      </c>
    </row>
    <row r="157" customFormat="false" ht="15" hidden="false" customHeight="false" outlineLevel="0" collapsed="false">
      <c r="A157" s="1" t="s">
        <v>275</v>
      </c>
      <c r="B157" s="8" t="n">
        <v>45787</v>
      </c>
      <c r="C157" s="1" t="s">
        <v>240</v>
      </c>
      <c r="D157" s="9" t="s">
        <v>34</v>
      </c>
      <c r="E157" s="9" t="s">
        <v>55</v>
      </c>
      <c r="F157" s="1" t="s">
        <v>88</v>
      </c>
      <c r="G157" s="1" t="s">
        <v>226</v>
      </c>
      <c r="H157" s="1" t="n">
        <v>10</v>
      </c>
      <c r="I157" s="10" t="n">
        <v>67050</v>
      </c>
      <c r="J157" s="1" t="s">
        <v>276</v>
      </c>
      <c r="K157" s="1" t="s">
        <v>242</v>
      </c>
      <c r="L157" s="1" t="s">
        <v>51</v>
      </c>
      <c r="M157" s="1" t="s">
        <v>41</v>
      </c>
      <c r="N157" s="1" t="s">
        <v>53</v>
      </c>
      <c r="O157" s="1" t="n">
        <v>14</v>
      </c>
      <c r="P157" s="9" t="s">
        <v>42</v>
      </c>
    </row>
    <row r="158" customFormat="false" ht="15" hidden="false" customHeight="false" outlineLevel="0" collapsed="false">
      <c r="A158" s="1" t="s">
        <v>277</v>
      </c>
      <c r="B158" s="8" t="n">
        <v>45831</v>
      </c>
      <c r="C158" s="1" t="s">
        <v>71</v>
      </c>
      <c r="D158" s="9" t="s">
        <v>46</v>
      </c>
      <c r="E158" s="9" t="s">
        <v>55</v>
      </c>
      <c r="F158" s="1" t="s">
        <v>88</v>
      </c>
      <c r="G158" s="1" t="s">
        <v>37</v>
      </c>
      <c r="H158" s="1" t="n">
        <v>10</v>
      </c>
      <c r="I158" s="10" t="n">
        <v>51200</v>
      </c>
      <c r="J158" s="1" t="s">
        <v>82</v>
      </c>
      <c r="K158" s="1" t="s">
        <v>73</v>
      </c>
      <c r="L158" s="1" t="s">
        <v>74</v>
      </c>
      <c r="M158" s="1" t="s">
        <v>52</v>
      </c>
      <c r="N158" s="1" t="s">
        <v>42</v>
      </c>
      <c r="O158" s="1" t="n">
        <v>7</v>
      </c>
      <c r="P158" s="9" t="s">
        <v>53</v>
      </c>
    </row>
    <row r="159" customFormat="false" ht="15" hidden="false" customHeight="false" outlineLevel="0" collapsed="false">
      <c r="A159" s="1" t="s">
        <v>278</v>
      </c>
      <c r="B159" s="8" t="n">
        <v>45702</v>
      </c>
      <c r="C159" s="1" t="s">
        <v>201</v>
      </c>
      <c r="D159" s="9" t="s">
        <v>67</v>
      </c>
      <c r="E159" s="9" t="s">
        <v>55</v>
      </c>
      <c r="F159" s="1" t="s">
        <v>36</v>
      </c>
      <c r="G159" s="1" t="s">
        <v>226</v>
      </c>
      <c r="H159" s="1" t="n">
        <v>25</v>
      </c>
      <c r="I159" s="10" t="n">
        <v>44810</v>
      </c>
      <c r="J159" s="1" t="s">
        <v>202</v>
      </c>
      <c r="K159" s="1" t="s">
        <v>203</v>
      </c>
      <c r="L159" s="1" t="s">
        <v>51</v>
      </c>
      <c r="M159" s="1" t="s">
        <v>69</v>
      </c>
      <c r="N159" s="1" t="s">
        <v>53</v>
      </c>
      <c r="O159" s="1" t="n">
        <v>30</v>
      </c>
      <c r="P159" s="9" t="s">
        <v>42</v>
      </c>
    </row>
    <row r="160" customFormat="false" ht="15" hidden="false" customHeight="false" outlineLevel="0" collapsed="false">
      <c r="A160" s="1" t="s">
        <v>279</v>
      </c>
      <c r="B160" s="8" t="n">
        <v>45658</v>
      </c>
      <c r="C160" s="1" t="s">
        <v>45</v>
      </c>
      <c r="D160" s="9" t="s">
        <v>46</v>
      </c>
      <c r="E160" s="9" t="s">
        <v>55</v>
      </c>
      <c r="F160" s="1" t="s">
        <v>56</v>
      </c>
      <c r="G160" s="1" t="s">
        <v>57</v>
      </c>
      <c r="H160" s="1" t="n">
        <v>10</v>
      </c>
      <c r="I160" s="10" t="n">
        <v>72890</v>
      </c>
      <c r="J160" s="1" t="s">
        <v>115</v>
      </c>
      <c r="K160" s="1" t="s">
        <v>50</v>
      </c>
      <c r="L160" s="1" t="s">
        <v>51</v>
      </c>
      <c r="M160" s="1" t="s">
        <v>52</v>
      </c>
      <c r="N160" s="1" t="s">
        <v>42</v>
      </c>
      <c r="O160" s="1" t="n">
        <v>7</v>
      </c>
      <c r="P160" s="9" t="s">
        <v>53</v>
      </c>
    </row>
    <row r="161" customFormat="false" ht="15" hidden="false" customHeight="false" outlineLevel="0" collapsed="false">
      <c r="A161" s="1" t="s">
        <v>280</v>
      </c>
      <c r="B161" s="8" t="n">
        <v>45762</v>
      </c>
      <c r="C161" s="1" t="s">
        <v>219</v>
      </c>
      <c r="D161" s="9" t="s">
        <v>34</v>
      </c>
      <c r="E161" s="9" t="s">
        <v>80</v>
      </c>
      <c r="F161" s="1" t="s">
        <v>90</v>
      </c>
      <c r="G161" s="1" t="s">
        <v>60</v>
      </c>
      <c r="H161" s="1" t="n">
        <v>17</v>
      </c>
      <c r="I161" s="10" t="n">
        <v>29580</v>
      </c>
      <c r="J161" s="1" t="s">
        <v>247</v>
      </c>
      <c r="K161" s="1" t="s">
        <v>78</v>
      </c>
      <c r="L161" s="1" t="s">
        <v>74</v>
      </c>
      <c r="M161" s="1" t="s">
        <v>41</v>
      </c>
      <c r="N161" s="1" t="s">
        <v>42</v>
      </c>
      <c r="O161" s="1" t="n">
        <v>14</v>
      </c>
      <c r="P161" s="9" t="s">
        <v>43</v>
      </c>
    </row>
    <row r="162" customFormat="false" ht="15" hidden="false" customHeight="false" outlineLevel="0" collapsed="false">
      <c r="A162" s="1" t="s">
        <v>281</v>
      </c>
      <c r="B162" s="8" t="n">
        <v>45950</v>
      </c>
      <c r="C162" s="1" t="s">
        <v>84</v>
      </c>
      <c r="D162" s="9" t="s">
        <v>34</v>
      </c>
      <c r="E162" s="9" t="s">
        <v>55</v>
      </c>
      <c r="F162" s="1" t="s">
        <v>36</v>
      </c>
      <c r="G162" s="1" t="s">
        <v>193</v>
      </c>
      <c r="H162" s="1" t="n">
        <v>3</v>
      </c>
      <c r="I162" s="10" t="n">
        <v>65990</v>
      </c>
      <c r="J162" s="1" t="s">
        <v>109</v>
      </c>
      <c r="K162" s="1" t="s">
        <v>86</v>
      </c>
      <c r="L162" s="1" t="s">
        <v>69</v>
      </c>
      <c r="M162" s="1" t="s">
        <v>41</v>
      </c>
      <c r="N162" s="1" t="s">
        <v>42</v>
      </c>
      <c r="O162" s="1" t="n">
        <v>14</v>
      </c>
      <c r="P162" s="9" t="s">
        <v>42</v>
      </c>
    </row>
    <row r="163" customFormat="false" ht="15" hidden="false" customHeight="false" outlineLevel="0" collapsed="false">
      <c r="A163" s="1" t="s">
        <v>282</v>
      </c>
      <c r="B163" s="8" t="n">
        <v>45698</v>
      </c>
      <c r="C163" s="1" t="s">
        <v>84</v>
      </c>
      <c r="D163" s="9" t="s">
        <v>46</v>
      </c>
      <c r="E163" s="9" t="s">
        <v>55</v>
      </c>
      <c r="F163" s="1" t="s">
        <v>207</v>
      </c>
      <c r="G163" s="1" t="s">
        <v>37</v>
      </c>
      <c r="H163" s="1" t="n">
        <v>12</v>
      </c>
      <c r="I163" s="10" t="n">
        <v>79970</v>
      </c>
      <c r="J163" s="1" t="s">
        <v>109</v>
      </c>
      <c r="K163" s="1" t="s">
        <v>86</v>
      </c>
      <c r="L163" s="1" t="s">
        <v>208</v>
      </c>
      <c r="M163" s="1" t="s">
        <v>52</v>
      </c>
      <c r="N163" s="1" t="s">
        <v>42</v>
      </c>
      <c r="O163" s="1" t="n">
        <v>7</v>
      </c>
      <c r="P163" s="9" t="s">
        <v>53</v>
      </c>
    </row>
    <row r="164" customFormat="false" ht="15" hidden="false" customHeight="false" outlineLevel="0" collapsed="false">
      <c r="A164" s="1" t="s">
        <v>283</v>
      </c>
      <c r="B164" s="8" t="n">
        <v>45756</v>
      </c>
      <c r="C164" s="1" t="s">
        <v>284</v>
      </c>
      <c r="D164" s="9" t="s">
        <v>46</v>
      </c>
      <c r="E164" s="9" t="s">
        <v>55</v>
      </c>
      <c r="F164" s="1" t="s">
        <v>199</v>
      </c>
      <c r="G164" s="1" t="s">
        <v>226</v>
      </c>
      <c r="H164" s="1" t="n">
        <v>9</v>
      </c>
      <c r="I164" s="10" t="n">
        <v>17400</v>
      </c>
      <c r="J164" s="1" t="s">
        <v>285</v>
      </c>
      <c r="K164" s="1" t="s">
        <v>286</v>
      </c>
      <c r="L164" s="1" t="s">
        <v>69</v>
      </c>
      <c r="M164" s="1" t="s">
        <v>52</v>
      </c>
      <c r="N164" s="1" t="s">
        <v>42</v>
      </c>
      <c r="O164" s="1" t="n">
        <v>7</v>
      </c>
      <c r="P164" s="9" t="s">
        <v>53</v>
      </c>
    </row>
    <row r="165" customFormat="false" ht="15" hidden="false" customHeight="false" outlineLevel="0" collapsed="false">
      <c r="A165" s="1" t="s">
        <v>287</v>
      </c>
      <c r="B165" s="8" t="n">
        <v>45854</v>
      </c>
      <c r="C165" s="1" t="s">
        <v>45</v>
      </c>
      <c r="D165" s="9" t="s">
        <v>34</v>
      </c>
      <c r="E165" s="9" t="s">
        <v>55</v>
      </c>
      <c r="F165" s="1" t="s">
        <v>56</v>
      </c>
      <c r="G165" s="1" t="s">
        <v>99</v>
      </c>
      <c r="H165" s="1" t="n">
        <v>5</v>
      </c>
      <c r="I165" s="10" t="n">
        <v>28120</v>
      </c>
      <c r="J165" s="1" t="s">
        <v>115</v>
      </c>
      <c r="K165" s="1" t="s">
        <v>50</v>
      </c>
      <c r="L165" s="1" t="s">
        <v>74</v>
      </c>
      <c r="M165" s="1" t="s">
        <v>41</v>
      </c>
      <c r="N165" s="1" t="s">
        <v>42</v>
      </c>
      <c r="O165" s="1" t="n">
        <v>14</v>
      </c>
      <c r="P165" s="9" t="s">
        <v>42</v>
      </c>
    </row>
    <row r="166" customFormat="false" ht="15" hidden="false" customHeight="false" outlineLevel="0" collapsed="false">
      <c r="A166" s="1" t="s">
        <v>288</v>
      </c>
      <c r="B166" s="8" t="n">
        <v>45689</v>
      </c>
      <c r="C166" s="1" t="s">
        <v>210</v>
      </c>
      <c r="D166" s="9" t="s">
        <v>105</v>
      </c>
      <c r="E166" s="9" t="s">
        <v>35</v>
      </c>
      <c r="F166" s="1" t="s">
        <v>199</v>
      </c>
      <c r="G166" s="1" t="s">
        <v>226</v>
      </c>
      <c r="H166" s="1" t="n">
        <v>7</v>
      </c>
      <c r="I166" s="10" t="n">
        <v>202760</v>
      </c>
      <c r="J166" s="1" t="s">
        <v>211</v>
      </c>
      <c r="K166" s="1" t="s">
        <v>212</v>
      </c>
      <c r="L166" s="1" t="s">
        <v>40</v>
      </c>
      <c r="M166" s="1" t="s">
        <v>106</v>
      </c>
      <c r="N166" s="1" t="s">
        <v>42</v>
      </c>
      <c r="O166" s="1" t="n">
        <v>3</v>
      </c>
      <c r="P166" s="9" t="s">
        <v>43</v>
      </c>
    </row>
    <row r="167" customFormat="false" ht="15" hidden="false" customHeight="false" outlineLevel="0" collapsed="false">
      <c r="A167" s="1" t="s">
        <v>289</v>
      </c>
      <c r="B167" s="8" t="n">
        <v>45721</v>
      </c>
      <c r="C167" s="1" t="s">
        <v>45</v>
      </c>
      <c r="D167" s="9" t="s">
        <v>67</v>
      </c>
      <c r="E167" s="9" t="s">
        <v>55</v>
      </c>
      <c r="F167" s="1" t="s">
        <v>90</v>
      </c>
      <c r="G167" s="1" t="s">
        <v>99</v>
      </c>
      <c r="H167" s="1" t="n">
        <v>20</v>
      </c>
      <c r="I167" s="10" t="n">
        <v>22030</v>
      </c>
      <c r="J167" s="1" t="s">
        <v>49</v>
      </c>
      <c r="K167" s="1" t="s">
        <v>50</v>
      </c>
      <c r="L167" s="1" t="s">
        <v>74</v>
      </c>
      <c r="M167" s="1" t="s">
        <v>69</v>
      </c>
      <c r="N167" s="1" t="s">
        <v>42</v>
      </c>
      <c r="O167" s="1" t="n">
        <v>30</v>
      </c>
      <c r="P167" s="9" t="s">
        <v>42</v>
      </c>
    </row>
    <row r="168" customFormat="false" ht="15" hidden="false" customHeight="false" outlineLevel="0" collapsed="false">
      <c r="A168" s="1" t="s">
        <v>290</v>
      </c>
      <c r="B168" s="8" t="n">
        <v>45713</v>
      </c>
      <c r="C168" s="1" t="s">
        <v>240</v>
      </c>
      <c r="D168" s="9" t="s">
        <v>34</v>
      </c>
      <c r="E168" s="9" t="s">
        <v>55</v>
      </c>
      <c r="F168" s="1" t="s">
        <v>48</v>
      </c>
      <c r="G168" s="1" t="s">
        <v>226</v>
      </c>
      <c r="H168" s="1" t="n">
        <v>9</v>
      </c>
      <c r="I168" s="10" t="n">
        <v>54560</v>
      </c>
      <c r="J168" s="1" t="s">
        <v>255</v>
      </c>
      <c r="K168" s="1" t="s">
        <v>242</v>
      </c>
      <c r="L168" s="1" t="s">
        <v>74</v>
      </c>
      <c r="M168" s="1" t="s">
        <v>41</v>
      </c>
      <c r="N168" s="1" t="s">
        <v>53</v>
      </c>
      <c r="O168" s="1" t="n">
        <v>14</v>
      </c>
      <c r="P168" s="9" t="s">
        <v>42</v>
      </c>
    </row>
    <row r="169" customFormat="false" ht="15" hidden="false" customHeight="false" outlineLevel="0" collapsed="false">
      <c r="A169" s="1" t="s">
        <v>291</v>
      </c>
      <c r="B169" s="8" t="n">
        <v>45766</v>
      </c>
      <c r="C169" s="1" t="s">
        <v>219</v>
      </c>
      <c r="D169" s="9" t="s">
        <v>67</v>
      </c>
      <c r="E169" s="9" t="s">
        <v>47</v>
      </c>
      <c r="F169" s="1" t="s">
        <v>231</v>
      </c>
      <c r="G169" s="1" t="s">
        <v>193</v>
      </c>
      <c r="H169" s="1" t="n">
        <v>56</v>
      </c>
      <c r="I169" s="10" t="n">
        <v>19420</v>
      </c>
      <c r="J169" s="1" t="s">
        <v>292</v>
      </c>
      <c r="K169" s="1" t="s">
        <v>78</v>
      </c>
      <c r="L169" s="1" t="s">
        <v>74</v>
      </c>
      <c r="M169" s="1" t="s">
        <v>69</v>
      </c>
      <c r="N169" s="1" t="s">
        <v>42</v>
      </c>
      <c r="O169" s="1" t="n">
        <v>30</v>
      </c>
      <c r="P169" s="9" t="s">
        <v>43</v>
      </c>
    </row>
    <row r="170" customFormat="false" ht="15" hidden="false" customHeight="false" outlineLevel="0" collapsed="false">
      <c r="A170" s="1" t="s">
        <v>293</v>
      </c>
      <c r="B170" s="8" t="n">
        <v>45932</v>
      </c>
      <c r="C170" s="1" t="s">
        <v>201</v>
      </c>
      <c r="D170" s="9" t="s">
        <v>34</v>
      </c>
      <c r="E170" s="9" t="s">
        <v>55</v>
      </c>
      <c r="F170" s="1" t="s">
        <v>231</v>
      </c>
      <c r="G170" s="1" t="s">
        <v>37</v>
      </c>
      <c r="H170" s="1" t="n">
        <v>11</v>
      </c>
      <c r="I170" s="10" t="n">
        <v>104850</v>
      </c>
      <c r="J170" s="1" t="s">
        <v>202</v>
      </c>
      <c r="K170" s="1" t="s">
        <v>203</v>
      </c>
      <c r="L170" s="1" t="s">
        <v>74</v>
      </c>
      <c r="M170" s="1" t="s">
        <v>41</v>
      </c>
      <c r="N170" s="1" t="s">
        <v>53</v>
      </c>
      <c r="O170" s="1" t="n">
        <v>14</v>
      </c>
      <c r="P170" s="9" t="s">
        <v>42</v>
      </c>
    </row>
    <row r="171" customFormat="false" ht="15" hidden="false" customHeight="false" outlineLevel="0" collapsed="false">
      <c r="A171" s="1" t="s">
        <v>294</v>
      </c>
      <c r="B171" s="8" t="n">
        <v>45987</v>
      </c>
      <c r="C171" s="1" t="s">
        <v>62</v>
      </c>
      <c r="D171" s="9" t="s">
        <v>67</v>
      </c>
      <c r="E171" s="9" t="s">
        <v>55</v>
      </c>
      <c r="F171" s="1" t="s">
        <v>36</v>
      </c>
      <c r="G171" s="1" t="s">
        <v>193</v>
      </c>
      <c r="H171" s="1" t="n">
        <v>9</v>
      </c>
      <c r="I171" s="10" t="n">
        <v>19320</v>
      </c>
      <c r="J171" s="1" t="s">
        <v>127</v>
      </c>
      <c r="K171" s="1" t="s">
        <v>64</v>
      </c>
      <c r="L171" s="1" t="s">
        <v>40</v>
      </c>
      <c r="M171" s="1" t="s">
        <v>69</v>
      </c>
      <c r="N171" s="1" t="s">
        <v>53</v>
      </c>
      <c r="O171" s="1" t="n">
        <v>30</v>
      </c>
      <c r="P171" s="9" t="s">
        <v>42</v>
      </c>
    </row>
    <row r="172" customFormat="false" ht="15" hidden="false" customHeight="false" outlineLevel="0" collapsed="false">
      <c r="A172" s="1" t="s">
        <v>295</v>
      </c>
      <c r="B172" s="8" t="n">
        <v>45905</v>
      </c>
      <c r="C172" s="1" t="s">
        <v>76</v>
      </c>
      <c r="D172" s="9" t="s">
        <v>105</v>
      </c>
      <c r="E172" s="9" t="s">
        <v>80</v>
      </c>
      <c r="F172" s="1" t="s">
        <v>88</v>
      </c>
      <c r="G172" s="1" t="s">
        <v>220</v>
      </c>
      <c r="H172" s="1" t="n">
        <v>1</v>
      </c>
      <c r="I172" s="10" t="n">
        <v>101690</v>
      </c>
      <c r="J172" s="1" t="s">
        <v>119</v>
      </c>
      <c r="K172" s="1" t="s">
        <v>78</v>
      </c>
      <c r="L172" s="1" t="s">
        <v>74</v>
      </c>
      <c r="M172" s="1" t="s">
        <v>106</v>
      </c>
      <c r="N172" s="1" t="s">
        <v>42</v>
      </c>
      <c r="O172" s="1" t="n">
        <v>3</v>
      </c>
      <c r="P172" s="9" t="s">
        <v>43</v>
      </c>
    </row>
    <row r="173" customFormat="false" ht="15" hidden="false" customHeight="false" outlineLevel="0" collapsed="false">
      <c r="A173" s="1" t="s">
        <v>296</v>
      </c>
      <c r="B173" s="8" t="n">
        <v>46002</v>
      </c>
      <c r="C173" s="1" t="s">
        <v>84</v>
      </c>
      <c r="D173" s="9" t="s">
        <v>34</v>
      </c>
      <c r="E173" s="9" t="s">
        <v>35</v>
      </c>
      <c r="F173" s="1" t="s">
        <v>192</v>
      </c>
      <c r="G173" s="1" t="s">
        <v>37</v>
      </c>
      <c r="H173" s="1" t="n">
        <v>10</v>
      </c>
      <c r="I173" s="10" t="n">
        <v>83270</v>
      </c>
      <c r="J173" s="1" t="s">
        <v>109</v>
      </c>
      <c r="K173" s="1" t="s">
        <v>86</v>
      </c>
      <c r="L173" s="1" t="s">
        <v>51</v>
      </c>
      <c r="M173" s="1" t="s">
        <v>41</v>
      </c>
      <c r="N173" s="1" t="s">
        <v>53</v>
      </c>
      <c r="O173" s="1" t="n">
        <v>14</v>
      </c>
      <c r="P173" s="9" t="s">
        <v>43</v>
      </c>
    </row>
    <row r="174" customFormat="false" ht="15" hidden="false" customHeight="false" outlineLevel="0" collapsed="false">
      <c r="A174" s="1" t="s">
        <v>297</v>
      </c>
      <c r="B174" s="8" t="n">
        <v>45878</v>
      </c>
      <c r="C174" s="1" t="s">
        <v>71</v>
      </c>
      <c r="D174" s="9" t="s">
        <v>34</v>
      </c>
      <c r="E174" s="9" t="s">
        <v>35</v>
      </c>
      <c r="F174" s="1" t="s">
        <v>88</v>
      </c>
      <c r="G174" s="1" t="s">
        <v>60</v>
      </c>
      <c r="H174" s="1" t="n">
        <v>14</v>
      </c>
      <c r="I174" s="10" t="n">
        <v>29760</v>
      </c>
      <c r="J174" s="1" t="s">
        <v>82</v>
      </c>
      <c r="K174" s="1" t="s">
        <v>73</v>
      </c>
      <c r="L174" s="1" t="s">
        <v>74</v>
      </c>
      <c r="M174" s="1" t="s">
        <v>41</v>
      </c>
      <c r="N174" s="1" t="s">
        <v>53</v>
      </c>
      <c r="O174" s="1" t="n">
        <v>14</v>
      </c>
      <c r="P174" s="9" t="s">
        <v>43</v>
      </c>
    </row>
    <row r="175" customFormat="false" ht="15" hidden="false" customHeight="false" outlineLevel="0" collapsed="false">
      <c r="A175" s="1" t="s">
        <v>298</v>
      </c>
      <c r="B175" s="8" t="n">
        <v>45844</v>
      </c>
      <c r="C175" s="1" t="s">
        <v>195</v>
      </c>
      <c r="D175" s="9" t="s">
        <v>34</v>
      </c>
      <c r="E175" s="9" t="s">
        <v>55</v>
      </c>
      <c r="F175" s="1" t="s">
        <v>90</v>
      </c>
      <c r="G175" s="1" t="s">
        <v>57</v>
      </c>
      <c r="H175" s="1" t="n">
        <v>9</v>
      </c>
      <c r="I175" s="10" t="n">
        <v>23820</v>
      </c>
      <c r="J175" s="1" t="s">
        <v>299</v>
      </c>
      <c r="K175" s="1" t="s">
        <v>197</v>
      </c>
      <c r="L175" s="1" t="s">
        <v>40</v>
      </c>
      <c r="M175" s="1" t="s">
        <v>41</v>
      </c>
      <c r="N175" s="1" t="s">
        <v>42</v>
      </c>
      <c r="O175" s="1" t="n">
        <v>14</v>
      </c>
      <c r="P175" s="9" t="s">
        <v>42</v>
      </c>
    </row>
    <row r="176" customFormat="false" ht="15" hidden="false" customHeight="false" outlineLevel="0" collapsed="false">
      <c r="A176" s="1" t="s">
        <v>300</v>
      </c>
      <c r="B176" s="8" t="n">
        <v>46021</v>
      </c>
      <c r="C176" s="1" t="s">
        <v>45</v>
      </c>
      <c r="D176" s="9" t="s">
        <v>46</v>
      </c>
      <c r="E176" s="9" t="s">
        <v>55</v>
      </c>
      <c r="F176" s="1" t="s">
        <v>192</v>
      </c>
      <c r="G176" s="1" t="s">
        <v>242</v>
      </c>
      <c r="H176" s="1" t="n">
        <v>8</v>
      </c>
      <c r="I176" s="10" t="n">
        <v>31570</v>
      </c>
      <c r="J176" s="1" t="s">
        <v>49</v>
      </c>
      <c r="K176" s="1" t="s">
        <v>50</v>
      </c>
      <c r="L176" s="1" t="s">
        <v>208</v>
      </c>
      <c r="M176" s="1" t="s">
        <v>52</v>
      </c>
      <c r="N176" s="1" t="s">
        <v>42</v>
      </c>
      <c r="O176" s="1" t="n">
        <v>7</v>
      </c>
      <c r="P176" s="9" t="s">
        <v>53</v>
      </c>
    </row>
    <row r="177" customFormat="false" ht="15" hidden="false" customHeight="false" outlineLevel="0" collapsed="false">
      <c r="A177" s="1" t="s">
        <v>301</v>
      </c>
      <c r="B177" s="8" t="n">
        <v>45798</v>
      </c>
      <c r="C177" s="1" t="s">
        <v>240</v>
      </c>
      <c r="D177" s="9" t="s">
        <v>34</v>
      </c>
      <c r="E177" s="9" t="s">
        <v>55</v>
      </c>
      <c r="F177" s="1" t="s">
        <v>199</v>
      </c>
      <c r="G177" s="1" t="s">
        <v>99</v>
      </c>
      <c r="H177" s="1" t="n">
        <v>14</v>
      </c>
      <c r="I177" s="10" t="n">
        <v>45890</v>
      </c>
      <c r="J177" s="1" t="s">
        <v>255</v>
      </c>
      <c r="K177" s="1" t="s">
        <v>242</v>
      </c>
      <c r="L177" s="1" t="s">
        <v>40</v>
      </c>
      <c r="M177" s="1" t="s">
        <v>41</v>
      </c>
      <c r="N177" s="1" t="s">
        <v>53</v>
      </c>
      <c r="O177" s="1" t="n">
        <v>14</v>
      </c>
      <c r="P177" s="9" t="s">
        <v>42</v>
      </c>
    </row>
    <row r="178" customFormat="false" ht="15" hidden="false" customHeight="false" outlineLevel="0" collapsed="false">
      <c r="A178" s="1" t="s">
        <v>302</v>
      </c>
      <c r="B178" s="8" t="n">
        <v>45748</v>
      </c>
      <c r="C178" s="1" t="s">
        <v>219</v>
      </c>
      <c r="D178" s="9" t="s">
        <v>34</v>
      </c>
      <c r="E178" s="9" t="s">
        <v>55</v>
      </c>
      <c r="F178" s="1" t="s">
        <v>36</v>
      </c>
      <c r="G178" s="1" t="s">
        <v>193</v>
      </c>
      <c r="H178" s="1" t="n">
        <v>4</v>
      </c>
      <c r="I178" s="10" t="n">
        <v>37260</v>
      </c>
      <c r="J178" s="1" t="s">
        <v>71</v>
      </c>
      <c r="K178" s="1" t="s">
        <v>78</v>
      </c>
      <c r="L178" s="1" t="s">
        <v>51</v>
      </c>
      <c r="M178" s="1" t="s">
        <v>41</v>
      </c>
      <c r="N178" s="1" t="s">
        <v>42</v>
      </c>
      <c r="O178" s="1" t="n">
        <v>14</v>
      </c>
      <c r="P178" s="9" t="s">
        <v>42</v>
      </c>
    </row>
    <row r="179" customFormat="false" ht="15" hidden="false" customHeight="false" outlineLevel="0" collapsed="false">
      <c r="A179" s="1" t="s">
        <v>303</v>
      </c>
      <c r="B179" s="8" t="n">
        <v>45989</v>
      </c>
      <c r="C179" s="1" t="s">
        <v>71</v>
      </c>
      <c r="D179" s="9" t="s">
        <v>34</v>
      </c>
      <c r="E179" s="9" t="s">
        <v>55</v>
      </c>
      <c r="F179" s="1" t="s">
        <v>36</v>
      </c>
      <c r="G179" s="1" t="s">
        <v>60</v>
      </c>
      <c r="H179" s="1" t="n">
        <v>16</v>
      </c>
      <c r="I179" s="10" t="n">
        <v>28250</v>
      </c>
      <c r="J179" s="1" t="s">
        <v>72</v>
      </c>
      <c r="K179" s="1" t="s">
        <v>73</v>
      </c>
      <c r="L179" s="1" t="s">
        <v>51</v>
      </c>
      <c r="M179" s="1" t="s">
        <v>41</v>
      </c>
      <c r="N179" s="1" t="s">
        <v>42</v>
      </c>
      <c r="O179" s="1" t="n">
        <v>14</v>
      </c>
      <c r="P179" s="9" t="s">
        <v>53</v>
      </c>
    </row>
    <row r="180" customFormat="false" ht="15" hidden="false" customHeight="false" outlineLevel="0" collapsed="false">
      <c r="A180" s="1" t="s">
        <v>304</v>
      </c>
      <c r="B180" s="8" t="n">
        <v>45810</v>
      </c>
      <c r="C180" s="1" t="s">
        <v>71</v>
      </c>
      <c r="D180" s="9" t="s">
        <v>34</v>
      </c>
      <c r="E180" s="9" t="s">
        <v>55</v>
      </c>
      <c r="F180" s="1" t="s">
        <v>56</v>
      </c>
      <c r="G180" s="1" t="s">
        <v>37</v>
      </c>
      <c r="H180" s="1" t="n">
        <v>15</v>
      </c>
      <c r="I180" s="10" t="n">
        <v>29540</v>
      </c>
      <c r="J180" s="1" t="s">
        <v>72</v>
      </c>
      <c r="K180" s="1" t="s">
        <v>73</v>
      </c>
      <c r="L180" s="1" t="s">
        <v>74</v>
      </c>
      <c r="M180" s="1" t="s">
        <v>41</v>
      </c>
      <c r="N180" s="1" t="s">
        <v>42</v>
      </c>
      <c r="O180" s="1" t="n">
        <v>14</v>
      </c>
      <c r="P180" s="9" t="s">
        <v>53</v>
      </c>
    </row>
    <row r="181" customFormat="false" ht="15" hidden="false" customHeight="false" outlineLevel="0" collapsed="false">
      <c r="A181" s="1" t="s">
        <v>305</v>
      </c>
      <c r="B181" s="8" t="n">
        <v>45819</v>
      </c>
      <c r="C181" s="1" t="s">
        <v>45</v>
      </c>
      <c r="D181" s="9" t="s">
        <v>46</v>
      </c>
      <c r="E181" s="9" t="s">
        <v>55</v>
      </c>
      <c r="F181" s="1" t="s">
        <v>36</v>
      </c>
      <c r="G181" s="1" t="s">
        <v>99</v>
      </c>
      <c r="H181" s="1" t="n">
        <v>10</v>
      </c>
      <c r="I181" s="10" t="n">
        <v>40880</v>
      </c>
      <c r="J181" s="1" t="s">
        <v>115</v>
      </c>
      <c r="K181" s="1" t="s">
        <v>50</v>
      </c>
      <c r="L181" s="1" t="s">
        <v>69</v>
      </c>
      <c r="M181" s="1" t="s">
        <v>52</v>
      </c>
      <c r="N181" s="1" t="s">
        <v>42</v>
      </c>
      <c r="O181" s="1" t="n">
        <v>7</v>
      </c>
      <c r="P181" s="9" t="s">
        <v>53</v>
      </c>
    </row>
  </sheetData>
  <conditionalFormatting sqref="D2:D181">
    <cfRule type="expression" priority="2" aboveAverage="0" equalAverage="0" bottom="0" percent="0" rank="0" text="" dxfId="5">
      <formula>D2="Critical"</formula>
    </cfRule>
    <cfRule type="expression" priority="3" aboveAverage="0" equalAverage="0" bottom="0" percent="0" rank="0" text="" dxfId="6">
      <formula>D2="High"</formula>
    </cfRule>
  </conditionalFormatting>
  <conditionalFormatting sqref="P2:P181">
    <cfRule type="expression" priority="4" aboveAverage="0" equalAverage="0" bottom="0" percent="0" rank="0" text="" dxfId="5">
      <formula>P2="Yes"</formula>
    </cfRule>
  </conditionalFormatting>
  <conditionalFormatting sqref="E2:E181">
    <cfRule type="expression" priority="5" aboveAverage="0" equalAverage="0" bottom="0" percent="0" rank="0" text="" dxfId="6">
      <formula>OR(E2="Open",E2="In Progress")</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8"/>
    <col collapsed="false" customWidth="true" hidden="false" outlineLevel="0" max="3" min="3" style="1" width="36"/>
  </cols>
  <sheetData>
    <row r="1" customFormat="false" ht="15" hidden="false" customHeight="false" outlineLevel="0" collapsed="false">
      <c r="A1" s="11" t="s">
        <v>306</v>
      </c>
      <c r="B1" s="11" t="s">
        <v>307</v>
      </c>
      <c r="C1" s="11" t="s">
        <v>308</v>
      </c>
    </row>
    <row r="2" customFormat="false" ht="15" hidden="false" customHeight="false" outlineLevel="0" collapsed="false">
      <c r="A2" s="12" t="s">
        <v>16</v>
      </c>
      <c r="B2" s="12" t="s">
        <v>309</v>
      </c>
      <c r="C2" s="12" t="s">
        <v>32</v>
      </c>
    </row>
    <row r="3" customFormat="false" ht="15" hidden="false" customHeight="false" outlineLevel="0" collapsed="false">
      <c r="A3" s="12" t="s">
        <v>17</v>
      </c>
      <c r="B3" s="12" t="s">
        <v>310</v>
      </c>
      <c r="C3" s="12" t="s">
        <v>311</v>
      </c>
    </row>
    <row r="4" customFormat="false" ht="28.35" hidden="false" customHeight="false" outlineLevel="0" collapsed="false">
      <c r="A4" s="12" t="s">
        <v>18</v>
      </c>
      <c r="B4" s="12" t="s">
        <v>312</v>
      </c>
      <c r="C4" s="12" t="s">
        <v>313</v>
      </c>
    </row>
    <row r="5" customFormat="false" ht="15" hidden="false" customHeight="false" outlineLevel="0" collapsed="false">
      <c r="A5" s="12" t="s">
        <v>19</v>
      </c>
      <c r="B5" s="12" t="s">
        <v>314</v>
      </c>
      <c r="C5" s="12" t="s">
        <v>315</v>
      </c>
    </row>
    <row r="6" customFormat="false" ht="15" hidden="false" customHeight="false" outlineLevel="0" collapsed="false">
      <c r="A6" s="12" t="s">
        <v>20</v>
      </c>
      <c r="B6" s="12" t="s">
        <v>316</v>
      </c>
      <c r="C6" s="12" t="s">
        <v>317</v>
      </c>
    </row>
    <row r="7" customFormat="false" ht="15" hidden="false" customHeight="false" outlineLevel="0" collapsed="false">
      <c r="A7" s="12" t="s">
        <v>21</v>
      </c>
      <c r="B7" s="12" t="s">
        <v>318</v>
      </c>
      <c r="C7" s="12" t="s">
        <v>319</v>
      </c>
    </row>
    <row r="8" customFormat="false" ht="28.35" hidden="false" customHeight="false" outlineLevel="0" collapsed="false">
      <c r="A8" s="12" t="s">
        <v>22</v>
      </c>
      <c r="B8" s="12" t="s">
        <v>320</v>
      </c>
      <c r="C8" s="12" t="s">
        <v>321</v>
      </c>
    </row>
    <row r="9" customFormat="false" ht="28.35" hidden="false" customHeight="false" outlineLevel="0" collapsed="false">
      <c r="A9" s="12" t="s">
        <v>23</v>
      </c>
      <c r="B9" s="12" t="s">
        <v>322</v>
      </c>
      <c r="C9" s="12" t="s">
        <v>323</v>
      </c>
    </row>
    <row r="10" customFormat="false" ht="15" hidden="false" customHeight="false" outlineLevel="0" collapsed="false">
      <c r="A10" s="12" t="s">
        <v>24</v>
      </c>
      <c r="B10" s="12" t="s">
        <v>324</v>
      </c>
      <c r="C10" s="12" t="s">
        <v>325</v>
      </c>
    </row>
    <row r="11" customFormat="false" ht="28.35" hidden="false" customHeight="false" outlineLevel="0" collapsed="false">
      <c r="A11" s="12" t="s">
        <v>25</v>
      </c>
      <c r="B11" s="12" t="s">
        <v>326</v>
      </c>
      <c r="C11" s="12" t="s">
        <v>327</v>
      </c>
    </row>
    <row r="12" customFormat="false" ht="28.35" hidden="false" customHeight="false" outlineLevel="0" collapsed="false">
      <c r="A12" s="12" t="s">
        <v>26</v>
      </c>
      <c r="B12" s="12" t="s">
        <v>328</v>
      </c>
      <c r="C12" s="12" t="s">
        <v>329</v>
      </c>
    </row>
    <row r="13" customFormat="false" ht="28.35" hidden="false" customHeight="false" outlineLevel="0" collapsed="false">
      <c r="A13" s="12" t="s">
        <v>27</v>
      </c>
      <c r="B13" s="12" t="s">
        <v>330</v>
      </c>
      <c r="C13" s="12" t="s">
        <v>331</v>
      </c>
    </row>
    <row r="14" customFormat="false" ht="28.35" hidden="false" customHeight="false" outlineLevel="0" collapsed="false">
      <c r="A14" s="12" t="s">
        <v>28</v>
      </c>
      <c r="B14" s="12" t="s">
        <v>332</v>
      </c>
      <c r="C14" s="12" t="s">
        <v>333</v>
      </c>
    </row>
    <row r="15" customFormat="false" ht="28.35" hidden="false" customHeight="false" outlineLevel="0" collapsed="false">
      <c r="A15" s="12" t="s">
        <v>29</v>
      </c>
      <c r="B15" s="12" t="s">
        <v>334</v>
      </c>
      <c r="C15" s="12" t="s">
        <v>335</v>
      </c>
    </row>
    <row r="16" customFormat="false" ht="15" hidden="false" customHeight="false" outlineLevel="0" collapsed="false">
      <c r="A16" s="12" t="s">
        <v>30</v>
      </c>
      <c r="B16" s="12" t="s">
        <v>336</v>
      </c>
      <c r="C16" s="12" t="s">
        <v>337</v>
      </c>
    </row>
    <row r="17" customFormat="false" ht="28.35" hidden="false" customHeight="false" outlineLevel="0" collapsed="false">
      <c r="A17" s="12" t="s">
        <v>31</v>
      </c>
      <c r="B17" s="12" t="s">
        <v>338</v>
      </c>
      <c r="C17" s="12" t="s">
        <v>339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52"/>
  </cols>
  <sheetData>
    <row r="1" customFormat="false" ht="27.75" hidden="false" customHeight="true" outlineLevel="0" collapsed="false">
      <c r="A1" s="13" t="s">
        <v>340</v>
      </c>
      <c r="B1" s="13"/>
    </row>
    <row r="2" customFormat="false" ht="15" hidden="false" customHeight="true" outlineLevel="0" collapsed="false">
      <c r="A2" s="12" t="s">
        <v>341</v>
      </c>
      <c r="B2" s="12"/>
    </row>
    <row r="3" customFormat="false" ht="15" hidden="false" customHeight="false" outlineLevel="0" collapsed="false">
      <c r="A3" s="11" t="s">
        <v>342</v>
      </c>
      <c r="B3" s="11" t="s">
        <v>343</v>
      </c>
    </row>
    <row r="4" customFormat="false" ht="15" hidden="false" customHeight="false" outlineLevel="0" collapsed="false">
      <c r="A4" s="14" t="s">
        <v>344</v>
      </c>
      <c r="B4" s="15" t="s">
        <v>345</v>
      </c>
    </row>
    <row r="5" customFormat="false" ht="15" hidden="false" customHeight="false" outlineLevel="0" collapsed="false">
      <c r="A5" s="14" t="s">
        <v>346</v>
      </c>
      <c r="B5" s="15" t="s">
        <v>347</v>
      </c>
    </row>
    <row r="6" customFormat="false" ht="15" hidden="false" customHeight="false" outlineLevel="0" collapsed="false">
      <c r="A6" s="14" t="s">
        <v>348</v>
      </c>
      <c r="B6" s="15" t="s">
        <v>349</v>
      </c>
    </row>
    <row r="7" customFormat="false" ht="15" hidden="false" customHeight="false" outlineLevel="0" collapsed="false">
      <c r="A7" s="14" t="s">
        <v>350</v>
      </c>
      <c r="B7" s="15" t="s">
        <v>351</v>
      </c>
    </row>
    <row r="8" customFormat="false" ht="15" hidden="false" customHeight="false" outlineLevel="0" collapsed="false">
      <c r="A8" s="14" t="s">
        <v>352</v>
      </c>
      <c r="B8" s="15" t="s">
        <v>353</v>
      </c>
    </row>
    <row r="9" customFormat="false" ht="28.35" hidden="false" customHeight="false" outlineLevel="0" collapsed="false">
      <c r="A9" s="14" t="s">
        <v>354</v>
      </c>
      <c r="B9" s="15" t="s">
        <v>355</v>
      </c>
    </row>
    <row r="10" customFormat="false" ht="15" hidden="false" customHeight="false" outlineLevel="0" collapsed="false">
      <c r="A10" s="14" t="s">
        <v>356</v>
      </c>
      <c r="B10" s="15" t="s">
        <v>357</v>
      </c>
    </row>
    <row r="11" customFormat="false" ht="28.35" hidden="false" customHeight="false" outlineLevel="0" collapsed="false">
      <c r="A11" s="14" t="s">
        <v>358</v>
      </c>
      <c r="B11" s="15" t="s">
        <v>359</v>
      </c>
    </row>
    <row r="12" customFormat="false" ht="15" hidden="false" customHeight="false" outlineLevel="0" collapsed="false">
      <c r="A12" s="14" t="s">
        <v>360</v>
      </c>
      <c r="B12" s="15" t="s">
        <v>361</v>
      </c>
    </row>
    <row r="13" customFormat="false" ht="15" hidden="false" customHeight="false" outlineLevel="0" collapsed="false">
      <c r="A13" s="14" t="s">
        <v>362</v>
      </c>
      <c r="B13" s="15" t="s">
        <v>363</v>
      </c>
    </row>
    <row r="14" customFormat="false" ht="15" hidden="false" customHeight="false" outlineLevel="0" collapsed="false">
      <c r="A14" s="14" t="s">
        <v>364</v>
      </c>
      <c r="B14" s="15" t="s">
        <v>365</v>
      </c>
    </row>
    <row r="15" customFormat="false" ht="15" hidden="false" customHeight="false" outlineLevel="0" collapsed="false">
      <c r="A15" s="14" t="s">
        <v>366</v>
      </c>
      <c r="B15" s="15" t="s">
        <v>367</v>
      </c>
    </row>
    <row r="16" customFormat="false" ht="23.85" hidden="false" customHeight="false" outlineLevel="0" collapsed="false">
      <c r="A16" s="14" t="s">
        <v>368</v>
      </c>
      <c r="B16" s="15" t="s">
        <v>369</v>
      </c>
    </row>
    <row r="17" customFormat="false" ht="15" hidden="false" customHeight="false" outlineLevel="0" collapsed="false">
      <c r="A17" s="14" t="s">
        <v>370</v>
      </c>
      <c r="B17" s="15" t="s">
        <v>371</v>
      </c>
    </row>
    <row r="18" customFormat="false" ht="23.85" hidden="false" customHeight="false" outlineLevel="0" collapsed="false">
      <c r="A18" s="14" t="s">
        <v>372</v>
      </c>
      <c r="B18" s="15" t="s">
        <v>373</v>
      </c>
    </row>
    <row r="19" customFormat="false" ht="15" hidden="false" customHeight="false" outlineLevel="0" collapsed="false">
      <c r="A19" s="14" t="s">
        <v>374</v>
      </c>
      <c r="B19" s="15" t="s">
        <v>375</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2"/>
    <col collapsed="false" customWidth="true" hidden="false" outlineLevel="0" max="3" min="3" style="1" width="14"/>
    <col collapsed="false" customWidth="true" hidden="false" outlineLevel="0" max="4" min="4" style="1" width="3"/>
  </cols>
  <sheetData>
    <row r="1" customFormat="false" ht="18.55" hidden="false" customHeight="false" outlineLevel="0" collapsed="false">
      <c r="A1" s="16" t="s">
        <v>376</v>
      </c>
    </row>
    <row r="2" customFormat="false" ht="15" hidden="false" customHeight="false" outlineLevel="0" collapsed="false">
      <c r="A2" s="17" t="s">
        <v>377</v>
      </c>
    </row>
    <row r="4" customFormat="false" ht="15" hidden="false" customHeight="false" outlineLevel="0" collapsed="false">
      <c r="A4" s="18" t="s">
        <v>378</v>
      </c>
    </row>
    <row r="5" customFormat="false" ht="23.85" hidden="false" customHeight="false" outlineLevel="0" collapsed="false">
      <c r="A5" s="19" t="s">
        <v>379</v>
      </c>
      <c r="B5" s="20" t="n">
        <f aca="false">COUNTA(Incident_Data!$A$2:$A$181)</f>
        <v>180</v>
      </c>
    </row>
    <row r="7" customFormat="false" ht="15" hidden="false" customHeight="false" outlineLevel="0" collapsed="false">
      <c r="A7" s="18" t="s">
        <v>380</v>
      </c>
    </row>
    <row r="8" customFormat="false" ht="15" hidden="false" customHeight="false" outlineLevel="0" collapsed="false">
      <c r="A8" s="21" t="s">
        <v>18</v>
      </c>
      <c r="B8" s="21" t="s">
        <v>381</v>
      </c>
      <c r="C8" s="21" t="s">
        <v>382</v>
      </c>
    </row>
    <row r="9" customFormat="false" ht="15" hidden="false" customHeight="false" outlineLevel="0" collapsed="false">
      <c r="A9" s="19" t="s">
        <v>33</v>
      </c>
      <c r="B9" s="20" t="n">
        <f aca="false">COUNTIF(Incident_Data!$C$2:$C$181,A9)</f>
        <v>28</v>
      </c>
      <c r="C9" s="22" t="n">
        <f aca="false">B9/$B$5</f>
        <v>0.155555555555556</v>
      </c>
    </row>
    <row r="10" customFormat="false" ht="15" hidden="false" customHeight="false" outlineLevel="0" collapsed="false">
      <c r="A10" s="23" t="s">
        <v>71</v>
      </c>
      <c r="B10" s="24" t="n">
        <f aca="false">COUNTIF(Incident_Data!$C$2:$C$181,A10)</f>
        <v>28</v>
      </c>
      <c r="C10" s="25" t="n">
        <f aca="false">B10/$B$5</f>
        <v>0.155555555555556</v>
      </c>
    </row>
    <row r="11" customFormat="false" ht="15" hidden="false" customHeight="false" outlineLevel="0" collapsed="false">
      <c r="A11" s="19" t="s">
        <v>84</v>
      </c>
      <c r="B11" s="20" t="n">
        <f aca="false">COUNTIF(Incident_Data!$C$2:$C$181,A11)</f>
        <v>27</v>
      </c>
      <c r="C11" s="22" t="n">
        <f aca="false">B11/$B$5</f>
        <v>0.15</v>
      </c>
    </row>
    <row r="12" customFormat="false" ht="15" hidden="false" customHeight="false" outlineLevel="0" collapsed="false">
      <c r="A12" s="23" t="s">
        <v>76</v>
      </c>
      <c r="B12" s="24" t="n">
        <f aca="false">COUNTIF(Incident_Data!$C$2:$C$181,A12)</f>
        <v>24</v>
      </c>
      <c r="C12" s="25" t="n">
        <f aca="false">B12/$B$5</f>
        <v>0.133333333333333</v>
      </c>
    </row>
    <row r="13" customFormat="false" ht="15" hidden="false" customHeight="false" outlineLevel="0" collapsed="false">
      <c r="A13" s="19" t="s">
        <v>45</v>
      </c>
      <c r="B13" s="20" t="n">
        <f aca="false">COUNTIF(Incident_Data!$C$2:$C$181,A13)</f>
        <v>19</v>
      </c>
      <c r="C13" s="22" t="n">
        <f aca="false">B13/$B$5</f>
        <v>0.105555555555556</v>
      </c>
    </row>
    <row r="14" customFormat="false" ht="15" hidden="false" customHeight="false" outlineLevel="0" collapsed="false">
      <c r="A14" s="23" t="s">
        <v>62</v>
      </c>
      <c r="B14" s="24" t="n">
        <f aca="false">COUNTIF(Incident_Data!$C$2:$C$181,A14)</f>
        <v>19</v>
      </c>
      <c r="C14" s="25" t="n">
        <f aca="false">B14/$B$5</f>
        <v>0.105555555555556</v>
      </c>
    </row>
    <row r="15" customFormat="false" ht="15" hidden="false" customHeight="false" outlineLevel="0" collapsed="false">
      <c r="A15" s="19" t="s">
        <v>240</v>
      </c>
      <c r="B15" s="20" t="n">
        <f aca="false">COUNTIF(Incident_Data!$C$2:$C$181,A15)</f>
        <v>11</v>
      </c>
      <c r="C15" s="22" t="n">
        <f aca="false">B15/$B$5</f>
        <v>0.0611111111111111</v>
      </c>
    </row>
    <row r="16" customFormat="false" ht="15" hidden="false" customHeight="false" outlineLevel="0" collapsed="false">
      <c r="A16" s="23" t="s">
        <v>219</v>
      </c>
      <c r="B16" s="24" t="n">
        <f aca="false">COUNTIF(Incident_Data!$C$2:$C$181,A16)</f>
        <v>9</v>
      </c>
      <c r="C16" s="25" t="n">
        <f aca="false">B16/$B$5</f>
        <v>0.05</v>
      </c>
    </row>
    <row r="17" customFormat="false" ht="15" hidden="false" customHeight="false" outlineLevel="0" collapsed="false">
      <c r="A17" s="19" t="s">
        <v>201</v>
      </c>
      <c r="B17" s="20" t="n">
        <f aca="false">COUNTIF(Incident_Data!$C$2:$C$181,A17)</f>
        <v>6</v>
      </c>
      <c r="C17" s="22" t="n">
        <f aca="false">B17/$B$5</f>
        <v>0.0333333333333333</v>
      </c>
    </row>
    <row r="18" customFormat="false" ht="15" hidden="false" customHeight="false" outlineLevel="0" collapsed="false">
      <c r="A18" s="23" t="s">
        <v>210</v>
      </c>
      <c r="B18" s="24" t="n">
        <f aca="false">COUNTIF(Incident_Data!$C$2:$C$181,A18)</f>
        <v>5</v>
      </c>
      <c r="C18" s="25" t="n">
        <f aca="false">B18/$B$5</f>
        <v>0.0277777777777778</v>
      </c>
    </row>
    <row r="19" customFormat="false" ht="15" hidden="false" customHeight="false" outlineLevel="0" collapsed="false">
      <c r="A19" s="19" t="s">
        <v>195</v>
      </c>
      <c r="B19" s="20" t="n">
        <f aca="false">COUNTIF(Incident_Data!$C$2:$C$181,A19)</f>
        <v>3</v>
      </c>
      <c r="C19" s="22" t="n">
        <f aca="false">B19/$B$5</f>
        <v>0.0166666666666667</v>
      </c>
    </row>
    <row r="20" customFormat="false" ht="15" hidden="false" customHeight="false" outlineLevel="0" collapsed="false">
      <c r="A20" s="23" t="s">
        <v>284</v>
      </c>
      <c r="B20" s="24" t="n">
        <f aca="false">COUNTIF(Incident_Data!$C$2:$C$181,A20)</f>
        <v>1</v>
      </c>
      <c r="C20" s="25" t="n">
        <f aca="false">B20/$B$5</f>
        <v>0.00555555555555556</v>
      </c>
    </row>
    <row r="22" customFormat="false" ht="15" hidden="false" customHeight="false" outlineLevel="0" collapsed="false">
      <c r="A22" s="18" t="s">
        <v>383</v>
      </c>
    </row>
    <row r="23" customFormat="false" ht="15" hidden="false" customHeight="false" outlineLevel="0" collapsed="false">
      <c r="A23" s="21" t="s">
        <v>19</v>
      </c>
      <c r="B23" s="21" t="s">
        <v>384</v>
      </c>
      <c r="C23" s="21" t="s">
        <v>385</v>
      </c>
    </row>
    <row r="24" customFormat="false" ht="15" hidden="false" customHeight="false" outlineLevel="0" collapsed="false">
      <c r="A24" s="19" t="s">
        <v>105</v>
      </c>
      <c r="B24" s="26" t="n">
        <f aca="false">AVERAGEIF(Incident_Data!$D$2:$D$181,A24,Incident_Data!$H$2:$H$181)</f>
        <v>9.8</v>
      </c>
      <c r="C24" s="20" t="n">
        <f aca="false">COUNTIF(Incident_Data!$D$2:$D$181,A24)</f>
        <v>20</v>
      </c>
    </row>
    <row r="25" customFormat="false" ht="15" hidden="false" customHeight="false" outlineLevel="0" collapsed="false">
      <c r="A25" s="23" t="s">
        <v>46</v>
      </c>
      <c r="B25" s="27" t="n">
        <f aca="false">AVERAGEIF(Incident_Data!$D$2:$D$181,A25,Incident_Data!$H$2:$H$181)</f>
        <v>12.7169811320755</v>
      </c>
      <c r="C25" s="24" t="n">
        <f aca="false">COUNTIF(Incident_Data!$D$2:$D$181,A25)</f>
        <v>53</v>
      </c>
    </row>
    <row r="26" customFormat="false" ht="15" hidden="false" customHeight="false" outlineLevel="0" collapsed="false">
      <c r="A26" s="19" t="s">
        <v>34</v>
      </c>
      <c r="B26" s="26" t="n">
        <f aca="false">AVERAGEIF(Incident_Data!$D$2:$D$181,A26,Incident_Data!$H$2:$H$181)</f>
        <v>14.7375</v>
      </c>
      <c r="C26" s="20" t="n">
        <f aca="false">COUNTIF(Incident_Data!$D$2:$D$181,A26)</f>
        <v>80</v>
      </c>
    </row>
    <row r="27" customFormat="false" ht="15" hidden="false" customHeight="false" outlineLevel="0" collapsed="false">
      <c r="A27" s="23" t="s">
        <v>67</v>
      </c>
      <c r="B27" s="27" t="n">
        <f aca="false">AVERAGEIF(Incident_Data!$D$2:$D$181,A27,Incident_Data!$H$2:$H$181)</f>
        <v>18.1481481481482</v>
      </c>
      <c r="C27" s="24" t="n">
        <f aca="false">COUNTIF(Incident_Data!$D$2:$D$181,A27)</f>
        <v>27</v>
      </c>
    </row>
    <row r="50" customFormat="false" ht="15" hidden="false" customHeight="false" outlineLevel="0" collapsed="false">
      <c r="A50" s="18" t="s">
        <v>386</v>
      </c>
    </row>
    <row r="51" customFormat="false" ht="15" hidden="false" customHeight="false" outlineLevel="0" collapsed="false">
      <c r="A51" s="21" t="s">
        <v>21</v>
      </c>
      <c r="B51" s="21" t="s">
        <v>387</v>
      </c>
    </row>
    <row r="52" customFormat="false" ht="15" hidden="false" customHeight="false" outlineLevel="0" collapsed="false">
      <c r="A52" s="19" t="s">
        <v>48</v>
      </c>
      <c r="B52" s="28" t="n">
        <f aca="false">SUMIF(Incident_Data!$F$2:$F$181,A52,Incident_Data!$I$2:$I$181)</f>
        <v>1756282</v>
      </c>
    </row>
    <row r="53" customFormat="false" ht="15" hidden="false" customHeight="false" outlineLevel="0" collapsed="false">
      <c r="A53" s="23" t="s">
        <v>88</v>
      </c>
      <c r="B53" s="29" t="n">
        <f aca="false">SUMIF(Incident_Data!$F$2:$F$181,A53,Incident_Data!$I$2:$I$181)</f>
        <v>1725965</v>
      </c>
    </row>
    <row r="54" customFormat="false" ht="15" hidden="false" customHeight="false" outlineLevel="0" collapsed="false">
      <c r="A54" s="19" t="s">
        <v>36</v>
      </c>
      <c r="B54" s="28" t="n">
        <f aca="false">SUMIF(Incident_Data!$F$2:$F$181,A54,Incident_Data!$I$2:$I$181)</f>
        <v>1682059</v>
      </c>
    </row>
    <row r="55" customFormat="false" ht="15" hidden="false" customHeight="false" outlineLevel="0" collapsed="false">
      <c r="A55" s="23" t="s">
        <v>56</v>
      </c>
      <c r="B55" s="29" t="n">
        <f aca="false">SUMIF(Incident_Data!$F$2:$F$181,A55,Incident_Data!$I$2:$I$181)</f>
        <v>1493242</v>
      </c>
    </row>
    <row r="56" customFormat="false" ht="15" hidden="false" customHeight="false" outlineLevel="0" collapsed="false">
      <c r="A56" s="19" t="s">
        <v>90</v>
      </c>
      <c r="B56" s="28" t="n">
        <f aca="false">SUMIF(Incident_Data!$F$2:$F$181,A56,Incident_Data!$I$2:$I$181)</f>
        <v>1403244</v>
      </c>
    </row>
    <row r="57" customFormat="false" ht="15" hidden="false" customHeight="false" outlineLevel="0" collapsed="false">
      <c r="A57" s="23" t="s">
        <v>199</v>
      </c>
      <c r="B57" s="29" t="n">
        <f aca="false">SUMIF(Incident_Data!$F$2:$F$181,A57,Incident_Data!$I$2:$I$181)</f>
        <v>663410</v>
      </c>
    </row>
    <row r="58" customFormat="false" ht="15" hidden="false" customHeight="false" outlineLevel="0" collapsed="false">
      <c r="A58" s="19" t="s">
        <v>207</v>
      </c>
      <c r="B58" s="28" t="n">
        <f aca="false">SUMIF(Incident_Data!$F$2:$F$181,A58,Incident_Data!$I$2:$I$181)</f>
        <v>643730</v>
      </c>
    </row>
    <row r="59" customFormat="false" ht="15" hidden="false" customHeight="false" outlineLevel="0" collapsed="false">
      <c r="A59" s="23" t="s">
        <v>192</v>
      </c>
      <c r="B59" s="29" t="n">
        <f aca="false">SUMIF(Incident_Data!$F$2:$F$181,A59,Incident_Data!$I$2:$I$181)</f>
        <v>617870</v>
      </c>
    </row>
    <row r="60" customFormat="false" ht="15" hidden="false" customHeight="false" outlineLevel="0" collapsed="false">
      <c r="A60" s="19" t="s">
        <v>231</v>
      </c>
      <c r="B60" s="28" t="n">
        <f aca="false">SUMIF(Incident_Data!$F$2:$F$181,A60,Incident_Data!$I$2:$I$181)</f>
        <v>307620</v>
      </c>
    </row>
    <row r="62" customFormat="false" ht="15" hidden="false" customHeight="false" outlineLevel="0" collapsed="false">
      <c r="A62" s="18" t="s">
        <v>388</v>
      </c>
    </row>
    <row r="63" customFormat="false" ht="15" hidden="false" customHeight="false" outlineLevel="0" collapsed="false">
      <c r="A63" s="21" t="s">
        <v>22</v>
      </c>
      <c r="B63" s="21" t="s">
        <v>387</v>
      </c>
    </row>
    <row r="64" customFormat="false" ht="15" hidden="false" customHeight="false" outlineLevel="0" collapsed="false">
      <c r="A64" s="19" t="s">
        <v>37</v>
      </c>
      <c r="B64" s="28" t="n">
        <f aca="false">SUMIF(Incident_Data!$G$2:$G$181,A64,Incident_Data!$I$2:$I$181)</f>
        <v>2836299</v>
      </c>
    </row>
    <row r="65" customFormat="false" ht="15" hidden="false" customHeight="false" outlineLevel="0" collapsed="false">
      <c r="A65" s="23" t="s">
        <v>99</v>
      </c>
      <c r="B65" s="29" t="n">
        <f aca="false">SUMIF(Incident_Data!$G$2:$G$181,A65,Incident_Data!$I$2:$I$181)</f>
        <v>2079986</v>
      </c>
    </row>
    <row r="66" customFormat="false" ht="15" hidden="false" customHeight="false" outlineLevel="0" collapsed="false">
      <c r="A66" s="19" t="s">
        <v>57</v>
      </c>
      <c r="B66" s="28" t="n">
        <f aca="false">SUMIF(Incident_Data!$G$2:$G$181,A66,Incident_Data!$I$2:$I$181)</f>
        <v>1763143</v>
      </c>
    </row>
    <row r="67" customFormat="false" ht="15" hidden="false" customHeight="false" outlineLevel="0" collapsed="false">
      <c r="A67" s="23" t="s">
        <v>60</v>
      </c>
      <c r="B67" s="29" t="n">
        <f aca="false">SUMIF(Incident_Data!$G$2:$G$181,A67,Incident_Data!$I$2:$I$181)</f>
        <v>1624054</v>
      </c>
    </row>
    <row r="68" customFormat="false" ht="15" hidden="false" customHeight="false" outlineLevel="0" collapsed="false">
      <c r="A68" s="19" t="s">
        <v>226</v>
      </c>
      <c r="B68" s="28" t="n">
        <f aca="false">SUMIF(Incident_Data!$G$2:$G$181,A68,Incident_Data!$I$2:$I$181)</f>
        <v>964680</v>
      </c>
    </row>
    <row r="69" customFormat="false" ht="15" hidden="false" customHeight="false" outlineLevel="0" collapsed="false">
      <c r="A69" s="23" t="s">
        <v>193</v>
      </c>
      <c r="B69" s="29" t="n">
        <f aca="false">SUMIF(Incident_Data!$G$2:$G$181,A69,Incident_Data!$I$2:$I$181)</f>
        <v>646370</v>
      </c>
    </row>
    <row r="70" customFormat="false" ht="15" hidden="false" customHeight="false" outlineLevel="0" collapsed="false">
      <c r="A70" s="19" t="s">
        <v>220</v>
      </c>
      <c r="B70" s="28" t="n">
        <f aca="false">SUMIF(Incident_Data!$G$2:$G$181,A70,Incident_Data!$I$2:$I$181)</f>
        <v>283670</v>
      </c>
    </row>
    <row r="71" customFormat="false" ht="15" hidden="false" customHeight="false" outlineLevel="0" collapsed="false">
      <c r="A71" s="23" t="s">
        <v>242</v>
      </c>
      <c r="B71" s="29" t="n">
        <f aca="false">SUMIF(Incident_Data!$G$2:$G$181,A71,Incident_Data!$I$2:$I$181)</f>
        <v>95220</v>
      </c>
    </row>
    <row r="73" customFormat="false" ht="15" hidden="false" customHeight="false" outlineLevel="0" collapsed="false">
      <c r="A73" s="18" t="s">
        <v>389</v>
      </c>
    </row>
    <row r="74" customFormat="false" ht="23.85" hidden="false" customHeight="false" outlineLevel="0" collapsed="false">
      <c r="A74" s="21" t="s">
        <v>18</v>
      </c>
      <c r="B74" s="21" t="s">
        <v>390</v>
      </c>
      <c r="C74" s="21" t="s">
        <v>391</v>
      </c>
    </row>
    <row r="75" customFormat="false" ht="15" hidden="false" customHeight="false" outlineLevel="0" collapsed="false">
      <c r="A75" s="19" t="s">
        <v>33</v>
      </c>
      <c r="B75" s="28" t="n">
        <f aca="false">AVERAGEIF(Incident_Data!$C$2:$C$181,A75,Incident_Data!$I$2:$I$181)</f>
        <v>54576.1785714286</v>
      </c>
      <c r="C75" s="20" t="n">
        <f aca="false">RANK(B75,$B$75:$B$86)</f>
        <v>7</v>
      </c>
    </row>
    <row r="76" customFormat="false" ht="15" hidden="false" customHeight="false" outlineLevel="0" collapsed="false">
      <c r="A76" s="23" t="s">
        <v>71</v>
      </c>
      <c r="B76" s="29" t="n">
        <f aca="false">AVERAGEIF(Incident_Data!$C$2:$C$181,A76,Incident_Data!$I$2:$I$181)</f>
        <v>38061.8214285714</v>
      </c>
      <c r="C76" s="24" t="n">
        <f aca="false">RANK(B76,$B$75:$B$86)</f>
        <v>10</v>
      </c>
    </row>
    <row r="77" customFormat="false" ht="15" hidden="false" customHeight="false" outlineLevel="0" collapsed="false">
      <c r="A77" s="19" t="s">
        <v>84</v>
      </c>
      <c r="B77" s="28" t="n">
        <f aca="false">AVERAGEIF(Incident_Data!$C$2:$C$181,A77,Incident_Data!$I$2:$I$181)</f>
        <v>53801.3703703704</v>
      </c>
      <c r="C77" s="20" t="n">
        <f aca="false">RANK(B77,$B$75:$B$86)</f>
        <v>8</v>
      </c>
    </row>
    <row r="78" customFormat="false" ht="15" hidden="false" customHeight="false" outlineLevel="0" collapsed="false">
      <c r="A78" s="23" t="s">
        <v>76</v>
      </c>
      <c r="B78" s="29" t="n">
        <f aca="false">AVERAGEIF(Incident_Data!$C$2:$C$181,A78,Incident_Data!$I$2:$I$181)</f>
        <v>59281.2083333333</v>
      </c>
      <c r="C78" s="24" t="n">
        <f aca="false">RANK(B78,$B$75:$B$86)</f>
        <v>4</v>
      </c>
    </row>
    <row r="79" customFormat="false" ht="15" hidden="false" customHeight="false" outlineLevel="0" collapsed="false">
      <c r="A79" s="19" t="s">
        <v>45</v>
      </c>
      <c r="B79" s="28" t="n">
        <f aca="false">AVERAGEIF(Incident_Data!$C$2:$C$181,A79,Incident_Data!$I$2:$I$181)</f>
        <v>46318.052631579</v>
      </c>
      <c r="C79" s="20" t="n">
        <f aca="false">RANK(B79,$B$75:$B$86)</f>
        <v>9</v>
      </c>
    </row>
    <row r="80" customFormat="false" ht="15" hidden="false" customHeight="false" outlineLevel="0" collapsed="false">
      <c r="A80" s="23" t="s">
        <v>62</v>
      </c>
      <c r="B80" s="29" t="n">
        <f aca="false">AVERAGEIF(Incident_Data!$C$2:$C$181,A80,Incident_Data!$I$2:$I$181)</f>
        <v>55859.4210526316</v>
      </c>
      <c r="C80" s="24" t="n">
        <f aca="false">RANK(B80,$B$75:$B$86)</f>
        <v>6</v>
      </c>
    </row>
    <row r="81" customFormat="false" ht="15" hidden="false" customHeight="false" outlineLevel="0" collapsed="false">
      <c r="A81" s="19" t="s">
        <v>240</v>
      </c>
      <c r="B81" s="28" t="n">
        <f aca="false">AVERAGEIF(Incident_Data!$C$2:$C$181,A81,Incident_Data!$I$2:$I$181)</f>
        <v>94846.3636363636</v>
      </c>
      <c r="C81" s="20" t="n">
        <f aca="false">RANK(B81,$B$75:$B$86)</f>
        <v>2</v>
      </c>
    </row>
    <row r="82" customFormat="false" ht="15" hidden="false" customHeight="false" outlineLevel="0" collapsed="false">
      <c r="A82" s="23" t="s">
        <v>219</v>
      </c>
      <c r="B82" s="29" t="n">
        <f aca="false">AVERAGEIF(Incident_Data!$C$2:$C$181,A82,Incident_Data!$I$2:$I$181)</f>
        <v>56635.5555555556</v>
      </c>
      <c r="C82" s="24" t="n">
        <f aca="false">RANK(B82,$B$75:$B$86)</f>
        <v>5</v>
      </c>
    </row>
    <row r="83" customFormat="false" ht="15" hidden="false" customHeight="false" outlineLevel="0" collapsed="false">
      <c r="A83" s="19" t="s">
        <v>201</v>
      </c>
      <c r="B83" s="28" t="n">
        <f aca="false">AVERAGEIF(Incident_Data!$C$2:$C$181,A83,Incident_Data!$I$2:$I$181)</f>
        <v>92888.3333333333</v>
      </c>
      <c r="C83" s="20" t="n">
        <f aca="false">RANK(B83,$B$75:$B$86)</f>
        <v>3</v>
      </c>
    </row>
    <row r="84" customFormat="false" ht="15" hidden="false" customHeight="false" outlineLevel="0" collapsed="false">
      <c r="A84" s="23" t="s">
        <v>210</v>
      </c>
      <c r="B84" s="29" t="n">
        <f aca="false">AVERAGEIF(Incident_Data!$C$2:$C$181,A84,Incident_Data!$I$2:$I$181)</f>
        <v>138506</v>
      </c>
      <c r="C84" s="24" t="n">
        <f aca="false">RANK(B84,$B$75:$B$86)</f>
        <v>1</v>
      </c>
    </row>
    <row r="85" customFormat="false" ht="15" hidden="false" customHeight="false" outlineLevel="0" collapsed="false">
      <c r="A85" s="19" t="s">
        <v>195</v>
      </c>
      <c r="B85" s="28" t="n">
        <f aca="false">AVERAGEIF(Incident_Data!$C$2:$C$181,A85,Incident_Data!$I$2:$I$181)</f>
        <v>20836.6666666667</v>
      </c>
      <c r="C85" s="20" t="n">
        <f aca="false">RANK(B85,$B$75:$B$86)</f>
        <v>11</v>
      </c>
    </row>
    <row r="86" customFormat="false" ht="15" hidden="false" customHeight="false" outlineLevel="0" collapsed="false">
      <c r="A86" s="23" t="s">
        <v>284</v>
      </c>
      <c r="B86" s="29" t="n">
        <f aca="false">AVERAGEIF(Incident_Data!$C$2:$C$181,A86,Incident_Data!$I$2:$I$181)</f>
        <v>17400</v>
      </c>
      <c r="C86" s="24" t="n">
        <f aca="false">RANK(B86,$B$75:$B$86)</f>
        <v>12</v>
      </c>
    </row>
    <row r="88" customFormat="false" ht="15" hidden="false" customHeight="false" outlineLevel="0" collapsed="false">
      <c r="A88" s="18" t="s">
        <v>392</v>
      </c>
    </row>
    <row r="89" customFormat="false" ht="15" hidden="false" customHeight="false" outlineLevel="0" collapsed="false">
      <c r="A89" s="19" t="s">
        <v>393</v>
      </c>
      <c r="B89" s="20" t="n">
        <f aca="false">COUNTIF(Incident_Data!$E$2:$E$181,"Open")</f>
        <v>23</v>
      </c>
    </row>
    <row r="90" customFormat="false" ht="15" hidden="false" customHeight="false" outlineLevel="0" collapsed="false">
      <c r="A90" s="19" t="s">
        <v>394</v>
      </c>
      <c r="B90" s="20" t="n">
        <f aca="false">COUNTIF(Incident_Data!$E$2:$E$181,"In Progress")</f>
        <v>23</v>
      </c>
    </row>
    <row r="91" customFormat="false" ht="15" hidden="false" customHeight="false" outlineLevel="0" collapsed="false">
      <c r="A91" s="30" t="s">
        <v>395</v>
      </c>
      <c r="B91" s="31" t="n">
        <f aca="false">(B89+B90)/$B$5</f>
        <v>0.255555555555556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6"/>
    <col collapsed="false" customWidth="true" hidden="false" outlineLevel="0" max="6" min="6" style="1" width="22"/>
    <col collapsed="false" customWidth="true" hidden="false" outlineLevel="0" max="7" min="7" style="1" width="3"/>
  </cols>
  <sheetData>
    <row r="1" customFormat="false" ht="18.55" hidden="false" customHeight="false" outlineLevel="0" collapsed="false">
      <c r="A1" s="16" t="s">
        <v>396</v>
      </c>
    </row>
    <row r="2" customFormat="false" ht="15" hidden="false" customHeight="false" outlineLevel="0" collapsed="false">
      <c r="A2" s="17" t="s">
        <v>397</v>
      </c>
    </row>
    <row r="4" customFormat="false" ht="15" hidden="false" customHeight="false" outlineLevel="0" collapsed="false">
      <c r="A4" s="18" t="s">
        <v>398</v>
      </c>
    </row>
    <row r="5" customFormat="false" ht="23.85" hidden="false" customHeight="false" outlineLevel="0" collapsed="false">
      <c r="A5" s="21" t="s">
        <v>19</v>
      </c>
      <c r="B5" s="21" t="s">
        <v>399</v>
      </c>
      <c r="C5" s="21" t="s">
        <v>400</v>
      </c>
      <c r="D5" s="21" t="s">
        <v>401</v>
      </c>
      <c r="E5" s="21" t="s">
        <v>402</v>
      </c>
    </row>
    <row r="6" customFormat="false" ht="15" hidden="false" customHeight="false" outlineLevel="0" collapsed="false">
      <c r="A6" s="19" t="s">
        <v>105</v>
      </c>
      <c r="B6" s="20" t="n">
        <f aca="false">COUNTIFS(Incident_Data!$D$2:$D$181,A6,Incident_Data!$P$2:$P$181,"Yes")</f>
        <v>12</v>
      </c>
      <c r="C6" s="20" t="n">
        <f aca="false">COUNTIFS(Incident_Data!$D$2:$D$181,A6,Incident_Data!$P$2:$P$181,"No")</f>
        <v>5</v>
      </c>
      <c r="D6" s="20" t="n">
        <f aca="false">B6+C6</f>
        <v>17</v>
      </c>
      <c r="E6" s="22" t="n">
        <f aca="false">IF(D6=0,0,B6/D6)</f>
        <v>0.705882352941177</v>
      </c>
    </row>
    <row r="7" customFormat="false" ht="15" hidden="false" customHeight="false" outlineLevel="0" collapsed="false">
      <c r="A7" s="23" t="s">
        <v>46</v>
      </c>
      <c r="B7" s="24" t="n">
        <f aca="false">COUNTIFS(Incident_Data!$D$2:$D$181,A7,Incident_Data!$P$2:$P$181,"Yes")</f>
        <v>25</v>
      </c>
      <c r="C7" s="24" t="n">
        <f aca="false">COUNTIFS(Incident_Data!$D$2:$D$181,A7,Incident_Data!$P$2:$P$181,"No")</f>
        <v>9</v>
      </c>
      <c r="D7" s="24" t="n">
        <f aca="false">B7+C7</f>
        <v>34</v>
      </c>
      <c r="E7" s="25" t="n">
        <f aca="false">IF(D7=0,0,B7/D7)</f>
        <v>0.735294117647059</v>
      </c>
    </row>
    <row r="8" customFormat="false" ht="15" hidden="false" customHeight="false" outlineLevel="0" collapsed="false">
      <c r="A8" s="19" t="s">
        <v>34</v>
      </c>
      <c r="B8" s="20" t="n">
        <f aca="false">COUNTIFS(Incident_Data!$D$2:$D$181,A8,Incident_Data!$P$2:$P$181,"Yes")</f>
        <v>17</v>
      </c>
      <c r="C8" s="20" t="n">
        <f aca="false">COUNTIFS(Incident_Data!$D$2:$D$181,A8,Incident_Data!$P$2:$P$181,"No")</f>
        <v>32</v>
      </c>
      <c r="D8" s="20" t="n">
        <f aca="false">B8+C8</f>
        <v>49</v>
      </c>
      <c r="E8" s="22" t="n">
        <f aca="false">IF(D8=0,0,B8/D8)</f>
        <v>0.346938775510204</v>
      </c>
    </row>
    <row r="9" customFormat="false" ht="15" hidden="false" customHeight="false" outlineLevel="0" collapsed="false">
      <c r="A9" s="23" t="s">
        <v>67</v>
      </c>
      <c r="B9" s="24" t="n">
        <f aca="false">COUNTIFS(Incident_Data!$D$2:$D$181,A9,Incident_Data!$P$2:$P$181,"Yes")</f>
        <v>0</v>
      </c>
      <c r="C9" s="24" t="n">
        <f aca="false">COUNTIFS(Incident_Data!$D$2:$D$181,A9,Incident_Data!$P$2:$P$181,"No")</f>
        <v>17</v>
      </c>
      <c r="D9" s="24" t="n">
        <f aca="false">B9+C9</f>
        <v>17</v>
      </c>
      <c r="E9" s="25" t="n">
        <f aca="false">IF(D9=0,0,B9/D9)</f>
        <v>0</v>
      </c>
    </row>
    <row r="11" customFormat="false" ht="15" hidden="false" customHeight="false" outlineLevel="0" collapsed="false">
      <c r="A11" s="18" t="s">
        <v>403</v>
      </c>
    </row>
    <row r="12" customFormat="false" ht="23.85" hidden="false" customHeight="false" outlineLevel="0" collapsed="false">
      <c r="A12" s="21" t="s">
        <v>22</v>
      </c>
      <c r="B12" s="21" t="s">
        <v>399</v>
      </c>
      <c r="C12" s="21" t="s">
        <v>400</v>
      </c>
      <c r="D12" s="21" t="s">
        <v>401</v>
      </c>
      <c r="E12" s="21" t="s">
        <v>402</v>
      </c>
    </row>
    <row r="13" customFormat="false" ht="15" hidden="false" customHeight="false" outlineLevel="0" collapsed="false">
      <c r="A13" s="19" t="s">
        <v>37</v>
      </c>
      <c r="B13" s="20" t="n">
        <f aca="false">COUNTIFS(Incident_Data!$G$2:$G$181,A13,Incident_Data!$P$2:$P$181,"Yes")</f>
        <v>8</v>
      </c>
      <c r="C13" s="20" t="n">
        <f aca="false">COUNTIFS(Incident_Data!$G$2:$G$181,A13,Incident_Data!$P$2:$P$181,"No")</f>
        <v>14</v>
      </c>
      <c r="D13" s="20" t="n">
        <f aca="false">B13+C13</f>
        <v>22</v>
      </c>
      <c r="E13" s="22" t="n">
        <f aca="false">IF(D13=0,0,B13/D13)</f>
        <v>0.363636363636364</v>
      </c>
    </row>
    <row r="14" customFormat="false" ht="15" hidden="false" customHeight="false" outlineLevel="0" collapsed="false">
      <c r="A14" s="23" t="s">
        <v>99</v>
      </c>
      <c r="B14" s="24" t="n">
        <f aca="false">COUNTIFS(Incident_Data!$G$2:$G$181,A14,Incident_Data!$P$2:$P$181,"Yes")</f>
        <v>13</v>
      </c>
      <c r="C14" s="24" t="n">
        <f aca="false">COUNTIFS(Incident_Data!$G$2:$G$181,A14,Incident_Data!$P$2:$P$181,"No")</f>
        <v>12</v>
      </c>
      <c r="D14" s="24" t="n">
        <f aca="false">B14+C14</f>
        <v>25</v>
      </c>
      <c r="E14" s="25" t="n">
        <f aca="false">IF(D14=0,0,B14/D14)</f>
        <v>0.52</v>
      </c>
    </row>
    <row r="15" customFormat="false" ht="15" hidden="false" customHeight="false" outlineLevel="0" collapsed="false">
      <c r="A15" s="19" t="s">
        <v>57</v>
      </c>
      <c r="B15" s="20" t="n">
        <f aca="false">COUNTIFS(Incident_Data!$G$2:$G$181,A15,Incident_Data!$P$2:$P$181,"Yes")</f>
        <v>15</v>
      </c>
      <c r="C15" s="20" t="n">
        <f aca="false">COUNTIFS(Incident_Data!$G$2:$G$181,A15,Incident_Data!$P$2:$P$181,"No")</f>
        <v>9</v>
      </c>
      <c r="D15" s="20" t="n">
        <f aca="false">B15+C15</f>
        <v>24</v>
      </c>
      <c r="E15" s="22" t="n">
        <f aca="false">IF(D15=0,0,B15/D15)</f>
        <v>0.625</v>
      </c>
    </row>
    <row r="16" customFormat="false" ht="15" hidden="false" customHeight="false" outlineLevel="0" collapsed="false">
      <c r="A16" s="23" t="s">
        <v>60</v>
      </c>
      <c r="B16" s="24" t="n">
        <f aca="false">COUNTIFS(Incident_Data!$G$2:$G$181,A16,Incident_Data!$P$2:$P$181,"Yes")</f>
        <v>11</v>
      </c>
      <c r="C16" s="24" t="n">
        <f aca="false">COUNTIFS(Incident_Data!$G$2:$G$181,A16,Incident_Data!$P$2:$P$181,"No")</f>
        <v>13</v>
      </c>
      <c r="D16" s="24" t="n">
        <f aca="false">B16+C16</f>
        <v>24</v>
      </c>
      <c r="E16" s="25" t="n">
        <f aca="false">IF(D16=0,0,B16/D16)</f>
        <v>0.458333333333333</v>
      </c>
    </row>
    <row r="17" customFormat="false" ht="15" hidden="false" customHeight="false" outlineLevel="0" collapsed="false">
      <c r="A17" s="19" t="s">
        <v>226</v>
      </c>
      <c r="B17" s="20" t="n">
        <f aca="false">COUNTIFS(Incident_Data!$G$2:$G$181,A17,Incident_Data!$P$2:$P$181,"Yes")</f>
        <v>4</v>
      </c>
      <c r="C17" s="20" t="n">
        <f aca="false">COUNTIFS(Incident_Data!$G$2:$G$181,A17,Incident_Data!$P$2:$P$181,"No")</f>
        <v>5</v>
      </c>
      <c r="D17" s="20" t="n">
        <f aca="false">B17+C17</f>
        <v>9</v>
      </c>
      <c r="E17" s="22" t="n">
        <f aca="false">IF(D17=0,0,B17/D17)</f>
        <v>0.444444444444444</v>
      </c>
    </row>
    <row r="18" customFormat="false" ht="15" hidden="false" customHeight="false" outlineLevel="0" collapsed="false">
      <c r="A18" s="23" t="s">
        <v>193</v>
      </c>
      <c r="B18" s="24" t="n">
        <f aca="false">COUNTIFS(Incident_Data!$G$2:$G$181,A18,Incident_Data!$P$2:$P$181,"Yes")</f>
        <v>1</v>
      </c>
      <c r="C18" s="24" t="n">
        <f aca="false">COUNTIFS(Incident_Data!$G$2:$G$181,A18,Incident_Data!$P$2:$P$181,"No")</f>
        <v>9</v>
      </c>
      <c r="D18" s="24" t="n">
        <f aca="false">B18+C18</f>
        <v>10</v>
      </c>
      <c r="E18" s="25" t="n">
        <f aca="false">IF(D18=0,0,B18/D18)</f>
        <v>0.1</v>
      </c>
    </row>
    <row r="19" customFormat="false" ht="15" hidden="false" customHeight="false" outlineLevel="0" collapsed="false">
      <c r="A19" s="19" t="s">
        <v>220</v>
      </c>
      <c r="B19" s="20" t="n">
        <f aca="false">COUNTIFS(Incident_Data!$G$2:$G$181,A19,Incident_Data!$P$2:$P$181,"Yes")</f>
        <v>1</v>
      </c>
      <c r="C19" s="20" t="n">
        <f aca="false">COUNTIFS(Incident_Data!$G$2:$G$181,A19,Incident_Data!$P$2:$P$181,"No")</f>
        <v>0</v>
      </c>
      <c r="D19" s="20" t="n">
        <f aca="false">B19+C19</f>
        <v>1</v>
      </c>
      <c r="E19" s="22" t="n">
        <f aca="false">IF(D19=0,0,B19/D19)</f>
        <v>1</v>
      </c>
    </row>
    <row r="20" customFormat="false" ht="15" hidden="false" customHeight="false" outlineLevel="0" collapsed="false">
      <c r="A20" s="23" t="s">
        <v>242</v>
      </c>
      <c r="B20" s="24" t="n">
        <f aca="false">COUNTIFS(Incident_Data!$G$2:$G$181,A20,Incident_Data!$P$2:$P$181,"Yes")</f>
        <v>1</v>
      </c>
      <c r="C20" s="24" t="n">
        <f aca="false">COUNTIFS(Incident_Data!$G$2:$G$181,A20,Incident_Data!$P$2:$P$181,"No")</f>
        <v>1</v>
      </c>
      <c r="D20" s="24" t="n">
        <f aca="false">B20+C20</f>
        <v>2</v>
      </c>
      <c r="E20" s="25" t="n">
        <f aca="false">IF(D20=0,0,B20/D20)</f>
        <v>0.5</v>
      </c>
    </row>
    <row r="22" customFormat="false" ht="15" hidden="false" customHeight="false" outlineLevel="0" collapsed="false">
      <c r="A22" s="18" t="s">
        <v>404</v>
      </c>
    </row>
    <row r="23" customFormat="false" ht="91" hidden="false" customHeight="false" outlineLevel="0" collapsed="false">
      <c r="A23" s="21" t="s">
        <v>21</v>
      </c>
      <c r="B23" s="21" t="s">
        <v>74</v>
      </c>
      <c r="C23" s="21" t="s">
        <v>40</v>
      </c>
      <c r="D23" s="21" t="s">
        <v>65</v>
      </c>
      <c r="E23" s="21" t="s">
        <v>69</v>
      </c>
      <c r="F23" s="21" t="s">
        <v>91</v>
      </c>
      <c r="G23" s="21" t="s">
        <v>208</v>
      </c>
      <c r="H23" s="21" t="s">
        <v>137</v>
      </c>
      <c r="I23" s="21" t="s">
        <v>236</v>
      </c>
      <c r="J23" s="21" t="s">
        <v>51</v>
      </c>
    </row>
    <row r="24" customFormat="false" ht="15" hidden="false" customHeight="false" outlineLevel="0" collapsed="false">
      <c r="A24" s="19" t="s">
        <v>48</v>
      </c>
      <c r="B24" s="20" t="n">
        <f aca="false">COUNTIFS(Incident_Data!$F$2:$F$181,$A24,Incident_Data!$L$2:$L$181,B$23)</f>
        <v>9</v>
      </c>
      <c r="C24" s="20" t="n">
        <f aca="false">COUNTIFS(Incident_Data!$F$2:$F$181,$A24,Incident_Data!$L$2:$L$181,C$23)</f>
        <v>0</v>
      </c>
      <c r="D24" s="20" t="n">
        <f aca="false">COUNTIFS(Incident_Data!$F$2:$F$181,$A24,Incident_Data!$L$2:$L$181,D$23)</f>
        <v>14</v>
      </c>
      <c r="E24" s="20" t="n">
        <f aca="false">COUNTIFS(Incident_Data!$F$2:$F$181,$A24,Incident_Data!$L$2:$L$181,E$23)</f>
        <v>0</v>
      </c>
      <c r="F24" s="20" t="n">
        <f aca="false">COUNTIFS(Incident_Data!$F$2:$F$181,$A24,Incident_Data!$L$2:$L$181,F$23)</f>
        <v>0</v>
      </c>
      <c r="G24" s="20" t="n">
        <f aca="false">COUNTIFS(Incident_Data!$F$2:$F$181,$A24,Incident_Data!$L$2:$L$181,G$23)</f>
        <v>0</v>
      </c>
      <c r="H24" s="20" t="n">
        <f aca="false">COUNTIFS(Incident_Data!$F$2:$F$181,$A24,Incident_Data!$L$2:$L$181,H$23)</f>
        <v>0</v>
      </c>
      <c r="I24" s="20" t="n">
        <f aca="false">COUNTIFS(Incident_Data!$F$2:$F$181,$A24,Incident_Data!$L$2:$L$181,I$23)</f>
        <v>0</v>
      </c>
      <c r="J24" s="20" t="n">
        <f aca="false">COUNTIFS(Incident_Data!$F$2:$F$181,$A24,Incident_Data!$L$2:$L$181,"")</f>
        <v>0</v>
      </c>
    </row>
    <row r="25" customFormat="false" ht="15" hidden="false" customHeight="false" outlineLevel="0" collapsed="false">
      <c r="A25" s="23" t="s">
        <v>88</v>
      </c>
      <c r="B25" s="24" t="n">
        <f aca="false">COUNTIFS(Incident_Data!$F$2:$F$181,$A25,Incident_Data!$L$2:$L$181,B$23)</f>
        <v>14</v>
      </c>
      <c r="C25" s="24" t="n">
        <f aca="false">COUNTIFS(Incident_Data!$F$2:$F$181,$A25,Incident_Data!$L$2:$L$181,C$23)</f>
        <v>8</v>
      </c>
      <c r="D25" s="24" t="n">
        <f aca="false">COUNTIFS(Incident_Data!$F$2:$F$181,$A25,Incident_Data!$L$2:$L$181,D$23)</f>
        <v>0</v>
      </c>
      <c r="E25" s="24" t="n">
        <f aca="false">COUNTIFS(Incident_Data!$F$2:$F$181,$A25,Incident_Data!$L$2:$L$181,E$23)</f>
        <v>0</v>
      </c>
      <c r="F25" s="24" t="n">
        <f aca="false">COUNTIFS(Incident_Data!$F$2:$F$181,$A25,Incident_Data!$L$2:$L$181,F$23)</f>
        <v>0</v>
      </c>
      <c r="G25" s="24" t="n">
        <f aca="false">COUNTIFS(Incident_Data!$F$2:$F$181,$A25,Incident_Data!$L$2:$L$181,G$23)</f>
        <v>0</v>
      </c>
      <c r="H25" s="24" t="n">
        <f aca="false">COUNTIFS(Incident_Data!$F$2:$F$181,$A25,Incident_Data!$L$2:$L$181,H$23)</f>
        <v>0</v>
      </c>
      <c r="I25" s="24" t="n">
        <f aca="false">COUNTIFS(Incident_Data!$F$2:$F$181,$A25,Incident_Data!$L$2:$L$181,I$23)</f>
        <v>0</v>
      </c>
      <c r="J25" s="24" t="n">
        <f aca="false">COUNTIFS(Incident_Data!$F$2:$F$181,$A25,Incident_Data!$L$2:$L$181,"")</f>
        <v>0</v>
      </c>
    </row>
    <row r="26" customFormat="false" ht="15" hidden="false" customHeight="false" outlineLevel="0" collapsed="false">
      <c r="A26" s="19" t="s">
        <v>36</v>
      </c>
      <c r="B26" s="20" t="n">
        <f aca="false">COUNTIFS(Incident_Data!$F$2:$F$181,$A26,Incident_Data!$L$2:$L$181,B$23)</f>
        <v>0</v>
      </c>
      <c r="C26" s="20" t="n">
        <f aca="false">COUNTIFS(Incident_Data!$F$2:$F$181,$A26,Incident_Data!$L$2:$L$181,C$23)</f>
        <v>13</v>
      </c>
      <c r="D26" s="20" t="n">
        <f aca="false">COUNTIFS(Incident_Data!$F$2:$F$181,$A26,Incident_Data!$L$2:$L$181,D$23)</f>
        <v>0</v>
      </c>
      <c r="E26" s="20" t="n">
        <f aca="false">COUNTIFS(Incident_Data!$F$2:$F$181,$A26,Incident_Data!$L$2:$L$181,E$23)</f>
        <v>9</v>
      </c>
      <c r="F26" s="20" t="n">
        <f aca="false">COUNTIFS(Incident_Data!$F$2:$F$181,$A26,Incident_Data!$L$2:$L$181,F$23)</f>
        <v>0</v>
      </c>
      <c r="G26" s="20" t="n">
        <f aca="false">COUNTIFS(Incident_Data!$F$2:$F$181,$A26,Incident_Data!$L$2:$L$181,G$23)</f>
        <v>0</v>
      </c>
      <c r="H26" s="20" t="n">
        <f aca="false">COUNTIFS(Incident_Data!$F$2:$F$181,$A26,Incident_Data!$L$2:$L$181,H$23)</f>
        <v>0</v>
      </c>
      <c r="I26" s="20" t="n">
        <f aca="false">COUNTIFS(Incident_Data!$F$2:$F$181,$A26,Incident_Data!$L$2:$L$181,I$23)</f>
        <v>0</v>
      </c>
      <c r="J26" s="20" t="n">
        <f aca="false">COUNTIFS(Incident_Data!$F$2:$F$181,$A26,Incident_Data!$L$2:$L$181,"")</f>
        <v>0</v>
      </c>
    </row>
    <row r="27" customFormat="false" ht="15" hidden="false" customHeight="false" outlineLevel="0" collapsed="false">
      <c r="A27" s="23" t="s">
        <v>56</v>
      </c>
      <c r="B27" s="24" t="n">
        <f aca="false">COUNTIFS(Incident_Data!$F$2:$F$181,$A27,Incident_Data!$L$2:$L$181,B$23)</f>
        <v>9</v>
      </c>
      <c r="C27" s="24" t="n">
        <f aca="false">COUNTIFS(Incident_Data!$F$2:$F$181,$A27,Incident_Data!$L$2:$L$181,C$23)</f>
        <v>0</v>
      </c>
      <c r="D27" s="24" t="n">
        <f aca="false">COUNTIFS(Incident_Data!$F$2:$F$181,$A27,Incident_Data!$L$2:$L$181,D$23)</f>
        <v>0</v>
      </c>
      <c r="E27" s="24" t="n">
        <f aca="false">COUNTIFS(Incident_Data!$F$2:$F$181,$A27,Incident_Data!$L$2:$L$181,E$23)</f>
        <v>0</v>
      </c>
      <c r="F27" s="24" t="n">
        <f aca="false">COUNTIFS(Incident_Data!$F$2:$F$181,$A27,Incident_Data!$L$2:$L$181,F$23)</f>
        <v>0</v>
      </c>
      <c r="G27" s="24" t="n">
        <f aca="false">COUNTIFS(Incident_Data!$F$2:$F$181,$A27,Incident_Data!$L$2:$L$181,G$23)</f>
        <v>0</v>
      </c>
      <c r="H27" s="24" t="n">
        <f aca="false">COUNTIFS(Incident_Data!$F$2:$F$181,$A27,Incident_Data!$L$2:$L$181,H$23)</f>
        <v>4</v>
      </c>
      <c r="I27" s="24" t="n">
        <f aca="false">COUNTIFS(Incident_Data!$F$2:$F$181,$A27,Incident_Data!$L$2:$L$181,I$23)</f>
        <v>0</v>
      </c>
      <c r="J27" s="24" t="n">
        <f aca="false">COUNTIFS(Incident_Data!$F$2:$F$181,$A27,Incident_Data!$L$2:$L$181,"")</f>
        <v>0</v>
      </c>
    </row>
    <row r="28" customFormat="false" ht="15" hidden="false" customHeight="false" outlineLevel="0" collapsed="false">
      <c r="A28" s="19" t="s">
        <v>90</v>
      </c>
      <c r="B28" s="20" t="n">
        <f aca="false">COUNTIFS(Incident_Data!$F$2:$F$181,$A28,Incident_Data!$L$2:$L$181,B$23)</f>
        <v>10</v>
      </c>
      <c r="C28" s="20" t="n">
        <f aca="false">COUNTIFS(Incident_Data!$F$2:$F$181,$A28,Incident_Data!$L$2:$L$181,C$23)</f>
        <v>6</v>
      </c>
      <c r="D28" s="20" t="n">
        <f aca="false">COUNTIFS(Incident_Data!$F$2:$F$181,$A28,Incident_Data!$L$2:$L$181,D$23)</f>
        <v>0</v>
      </c>
      <c r="E28" s="20" t="n">
        <f aca="false">COUNTIFS(Incident_Data!$F$2:$F$181,$A28,Incident_Data!$L$2:$L$181,E$23)</f>
        <v>0</v>
      </c>
      <c r="F28" s="20" t="n">
        <f aca="false">COUNTIFS(Incident_Data!$F$2:$F$181,$A28,Incident_Data!$L$2:$L$181,F$23)</f>
        <v>10</v>
      </c>
      <c r="G28" s="20" t="n">
        <f aca="false">COUNTIFS(Incident_Data!$F$2:$F$181,$A28,Incident_Data!$L$2:$L$181,G$23)</f>
        <v>0</v>
      </c>
      <c r="H28" s="20" t="n">
        <f aca="false">COUNTIFS(Incident_Data!$F$2:$F$181,$A28,Incident_Data!$L$2:$L$181,H$23)</f>
        <v>0</v>
      </c>
      <c r="I28" s="20" t="n">
        <f aca="false">COUNTIFS(Incident_Data!$F$2:$F$181,$A28,Incident_Data!$L$2:$L$181,I$23)</f>
        <v>0</v>
      </c>
      <c r="J28" s="20" t="n">
        <f aca="false">COUNTIFS(Incident_Data!$F$2:$F$181,$A28,Incident_Data!$L$2:$L$181,"")</f>
        <v>0</v>
      </c>
    </row>
    <row r="29" customFormat="false" ht="15" hidden="false" customHeight="false" outlineLevel="0" collapsed="false">
      <c r="A29" s="23" t="s">
        <v>199</v>
      </c>
      <c r="B29" s="24" t="n">
        <f aca="false">COUNTIFS(Incident_Data!$F$2:$F$181,$A29,Incident_Data!$L$2:$L$181,B$23)</f>
        <v>3</v>
      </c>
      <c r="C29" s="24" t="n">
        <f aca="false">COUNTIFS(Incident_Data!$F$2:$F$181,$A29,Incident_Data!$L$2:$L$181,C$23)</f>
        <v>4</v>
      </c>
      <c r="D29" s="24" t="n">
        <f aca="false">COUNTIFS(Incident_Data!$F$2:$F$181,$A29,Incident_Data!$L$2:$L$181,D$23)</f>
        <v>0</v>
      </c>
      <c r="E29" s="24" t="n">
        <f aca="false">COUNTIFS(Incident_Data!$F$2:$F$181,$A29,Incident_Data!$L$2:$L$181,E$23)</f>
        <v>3</v>
      </c>
      <c r="F29" s="24" t="n">
        <f aca="false">COUNTIFS(Incident_Data!$F$2:$F$181,$A29,Incident_Data!$L$2:$L$181,F$23)</f>
        <v>0</v>
      </c>
      <c r="G29" s="24" t="n">
        <f aca="false">COUNTIFS(Incident_Data!$F$2:$F$181,$A29,Incident_Data!$L$2:$L$181,G$23)</f>
        <v>0</v>
      </c>
      <c r="H29" s="24" t="n">
        <f aca="false">COUNTIFS(Incident_Data!$F$2:$F$181,$A29,Incident_Data!$L$2:$L$181,H$23)</f>
        <v>0</v>
      </c>
      <c r="I29" s="24" t="n">
        <f aca="false">COUNTIFS(Incident_Data!$F$2:$F$181,$A29,Incident_Data!$L$2:$L$181,I$23)</f>
        <v>0</v>
      </c>
      <c r="J29" s="24" t="n">
        <f aca="false">COUNTIFS(Incident_Data!$F$2:$F$181,$A29,Incident_Data!$L$2:$L$181,"")</f>
        <v>0</v>
      </c>
    </row>
    <row r="30" customFormat="false" ht="15" hidden="false" customHeight="false" outlineLevel="0" collapsed="false">
      <c r="A30" s="19" t="s">
        <v>207</v>
      </c>
      <c r="B30" s="20" t="n">
        <f aca="false">COUNTIFS(Incident_Data!$F$2:$F$181,$A30,Incident_Data!$L$2:$L$181,B$23)</f>
        <v>3</v>
      </c>
      <c r="C30" s="20" t="n">
        <f aca="false">COUNTIFS(Incident_Data!$F$2:$F$181,$A30,Incident_Data!$L$2:$L$181,C$23)</f>
        <v>0</v>
      </c>
      <c r="D30" s="20" t="n">
        <f aca="false">COUNTIFS(Incident_Data!$F$2:$F$181,$A30,Incident_Data!$L$2:$L$181,D$23)</f>
        <v>0</v>
      </c>
      <c r="E30" s="20" t="n">
        <f aca="false">COUNTIFS(Incident_Data!$F$2:$F$181,$A30,Incident_Data!$L$2:$L$181,E$23)</f>
        <v>0</v>
      </c>
      <c r="F30" s="20" t="n">
        <f aca="false">COUNTIFS(Incident_Data!$F$2:$F$181,$A30,Incident_Data!$L$2:$L$181,F$23)</f>
        <v>0</v>
      </c>
      <c r="G30" s="20" t="n">
        <f aca="false">COUNTIFS(Incident_Data!$F$2:$F$181,$A30,Incident_Data!$L$2:$L$181,G$23)</f>
        <v>4</v>
      </c>
      <c r="H30" s="20" t="n">
        <f aca="false">COUNTIFS(Incident_Data!$F$2:$F$181,$A30,Incident_Data!$L$2:$L$181,H$23)</f>
        <v>0</v>
      </c>
      <c r="I30" s="20" t="n">
        <f aca="false">COUNTIFS(Incident_Data!$F$2:$F$181,$A30,Incident_Data!$L$2:$L$181,I$23)</f>
        <v>0</v>
      </c>
      <c r="J30" s="20" t="n">
        <f aca="false">COUNTIFS(Incident_Data!$F$2:$F$181,$A30,Incident_Data!$L$2:$L$181,"")</f>
        <v>0</v>
      </c>
    </row>
    <row r="31" customFormat="false" ht="15" hidden="false" customHeight="false" outlineLevel="0" collapsed="false">
      <c r="A31" s="23" t="s">
        <v>192</v>
      </c>
      <c r="B31" s="24" t="n">
        <f aca="false">COUNTIFS(Incident_Data!$F$2:$F$181,$A31,Incident_Data!$L$2:$L$181,B$23)</f>
        <v>5</v>
      </c>
      <c r="C31" s="24" t="n">
        <f aca="false">COUNTIFS(Incident_Data!$F$2:$F$181,$A31,Incident_Data!$L$2:$L$181,C$23)</f>
        <v>0</v>
      </c>
      <c r="D31" s="24" t="n">
        <f aca="false">COUNTIFS(Incident_Data!$F$2:$F$181,$A31,Incident_Data!$L$2:$L$181,D$23)</f>
        <v>0</v>
      </c>
      <c r="E31" s="24" t="n">
        <f aca="false">COUNTIFS(Incident_Data!$F$2:$F$181,$A31,Incident_Data!$L$2:$L$181,E$23)</f>
        <v>0</v>
      </c>
      <c r="F31" s="24" t="n">
        <f aca="false">COUNTIFS(Incident_Data!$F$2:$F$181,$A31,Incident_Data!$L$2:$L$181,F$23)</f>
        <v>0</v>
      </c>
      <c r="G31" s="24" t="n">
        <f aca="false">COUNTIFS(Incident_Data!$F$2:$F$181,$A31,Incident_Data!$L$2:$L$181,G$23)</f>
        <v>2</v>
      </c>
      <c r="H31" s="24" t="n">
        <f aca="false">COUNTIFS(Incident_Data!$F$2:$F$181,$A31,Incident_Data!$L$2:$L$181,H$23)</f>
        <v>0</v>
      </c>
      <c r="I31" s="24" t="n">
        <f aca="false">COUNTIFS(Incident_Data!$F$2:$F$181,$A31,Incident_Data!$L$2:$L$181,I$23)</f>
        <v>0</v>
      </c>
      <c r="J31" s="24" t="n">
        <f aca="false">COUNTIFS(Incident_Data!$F$2:$F$181,$A31,Incident_Data!$L$2:$L$181,"")</f>
        <v>0</v>
      </c>
    </row>
    <row r="32" customFormat="false" ht="15" hidden="false" customHeight="false" outlineLevel="0" collapsed="false">
      <c r="A32" s="19" t="s">
        <v>231</v>
      </c>
      <c r="B32" s="20" t="n">
        <f aca="false">COUNTIFS(Incident_Data!$F$2:$F$181,$A32,Incident_Data!$L$2:$L$181,B$23)</f>
        <v>3</v>
      </c>
      <c r="C32" s="20" t="n">
        <f aca="false">COUNTIFS(Incident_Data!$F$2:$F$181,$A32,Incident_Data!$L$2:$L$181,C$23)</f>
        <v>2</v>
      </c>
      <c r="D32" s="20" t="n">
        <f aca="false">COUNTIFS(Incident_Data!$F$2:$F$181,$A32,Incident_Data!$L$2:$L$181,D$23)</f>
        <v>0</v>
      </c>
      <c r="E32" s="20" t="n">
        <f aca="false">COUNTIFS(Incident_Data!$F$2:$F$181,$A32,Incident_Data!$L$2:$L$181,E$23)</f>
        <v>0</v>
      </c>
      <c r="F32" s="20" t="n">
        <f aca="false">COUNTIFS(Incident_Data!$F$2:$F$181,$A32,Incident_Data!$L$2:$L$181,F$23)</f>
        <v>0</v>
      </c>
      <c r="G32" s="20" t="n">
        <f aca="false">COUNTIFS(Incident_Data!$F$2:$F$181,$A32,Incident_Data!$L$2:$L$181,G$23)</f>
        <v>0</v>
      </c>
      <c r="H32" s="20" t="n">
        <f aca="false">COUNTIFS(Incident_Data!$F$2:$F$181,$A32,Incident_Data!$L$2:$L$181,H$23)</f>
        <v>0</v>
      </c>
      <c r="I32" s="20" t="n">
        <f aca="false">COUNTIFS(Incident_Data!$F$2:$F$181,$A32,Incident_Data!$L$2:$L$181,I$23)</f>
        <v>1</v>
      </c>
      <c r="J32" s="20" t="n">
        <f aca="false">COUNTIFS(Incident_Data!$F$2:$F$181,$A32,Incident_Data!$L$2:$L$181,"")</f>
        <v>0</v>
      </c>
    </row>
    <row r="34" customFormat="false" ht="15" hidden="false" customHeight="false" outlineLevel="0" collapsed="false">
      <c r="A34" s="18" t="s">
        <v>405</v>
      </c>
    </row>
    <row r="35" customFormat="false" ht="23.85" hidden="false" customHeight="false" outlineLevel="0" collapsed="false">
      <c r="A35" s="21" t="s">
        <v>29</v>
      </c>
      <c r="B35" s="21" t="s">
        <v>385</v>
      </c>
      <c r="C35" s="21" t="s">
        <v>390</v>
      </c>
      <c r="D35" s="21" t="s">
        <v>406</v>
      </c>
      <c r="E35" s="21" t="s">
        <v>407</v>
      </c>
      <c r="F35" s="21" t="s">
        <v>408</v>
      </c>
    </row>
    <row r="36" customFormat="false" ht="15" hidden="false" customHeight="false" outlineLevel="0" collapsed="false">
      <c r="A36" s="19" t="s">
        <v>53</v>
      </c>
      <c r="B36" s="20" t="n">
        <f aca="false">COUNTIF(Incident_Data!$N$2:$N$181,A36)</f>
        <v>43</v>
      </c>
      <c r="C36" s="28" t="n">
        <f aca="false">AVERAGEIF(Incident_Data!$N$2:$N$181,A36,Incident_Data!$I$2:$I$181)</f>
        <v>73699.6976744186</v>
      </c>
      <c r="D36" s="20" t="n">
        <f aca="false">COUNTIFS(Incident_Data!$N$2:$N$181,A36,Incident_Data!$D$2:$D$181,"Critical")+COUNTIFS(Incident_Data!$N$2:$N$181,A36,Incident_Data!$D$2:$D$181,"High")</f>
        <v>18</v>
      </c>
      <c r="E36" s="22" t="n">
        <f aca="false">D36/B36</f>
        <v>0.418604651162791</v>
      </c>
      <c r="F36" s="20" t="n">
        <f aca="false">COUNTIFS(Incident_Data!$N$2:$N$181,A36,Incident_Data!$M$2:$M$181,"Board / Executive")</f>
        <v>6</v>
      </c>
    </row>
    <row r="37" customFormat="false" ht="15" hidden="false" customHeight="false" outlineLevel="0" collapsed="false">
      <c r="A37" s="23" t="s">
        <v>42</v>
      </c>
      <c r="B37" s="24" t="n">
        <f aca="false">COUNTIF(Incident_Data!$N$2:$N$181,A37)</f>
        <v>137</v>
      </c>
      <c r="C37" s="29" t="n">
        <f aca="false">AVERAGEIF(Incident_Data!$N$2:$N$181,A37,Incident_Data!$I$2:$I$181)</f>
        <v>52002.4452554745</v>
      </c>
      <c r="D37" s="24" t="n">
        <f aca="false">COUNTIFS(Incident_Data!$N$2:$N$181,A37,Incident_Data!$D$2:$D$181,"Critical")+COUNTIFS(Incident_Data!$N$2:$N$181,A37,Incident_Data!$D$2:$D$181,"High")</f>
        <v>55</v>
      </c>
      <c r="E37" s="25" t="n">
        <f aca="false">D37/B37</f>
        <v>0.401459854014599</v>
      </c>
      <c r="F37" s="24" t="n">
        <f aca="false">COUNTIFS(Incident_Data!$N$2:$N$181,A37,Incident_Data!$M$2:$M$181,"Board / Executive")</f>
        <v>14</v>
      </c>
    </row>
    <row r="39" customFormat="false" ht="15" hidden="false" customHeight="false" outlineLevel="0" collapsed="false">
      <c r="A39" s="18" t="s">
        <v>409</v>
      </c>
    </row>
    <row r="40" customFormat="false" ht="23.85" hidden="false" customHeight="false" outlineLevel="0" collapsed="false">
      <c r="A40" s="21" t="s">
        <v>26</v>
      </c>
      <c r="B40" s="21" t="s">
        <v>385</v>
      </c>
      <c r="C40" s="21" t="s">
        <v>410</v>
      </c>
      <c r="D40" s="21" t="s">
        <v>411</v>
      </c>
      <c r="E40" s="21" t="s">
        <v>407</v>
      </c>
      <c r="F40" s="21" t="s">
        <v>412</v>
      </c>
    </row>
    <row r="41" customFormat="false" ht="15" hidden="false" customHeight="false" outlineLevel="0" collapsed="false">
      <c r="A41" s="19" t="s">
        <v>78</v>
      </c>
      <c r="B41" s="20" t="n">
        <f aca="false">COUNTIF(Incident_Data!$K$2:$K$181,A41)</f>
        <v>33</v>
      </c>
      <c r="C41" s="28" t="n">
        <f aca="false">SUMIF(Incident_Data!$K$2:$K$181,A41,Incident_Data!$I$2:$I$181)</f>
        <v>1932469</v>
      </c>
      <c r="D41" s="28" t="n">
        <f aca="false">IF(B41=0,0,C41/B41)</f>
        <v>58559.6666666667</v>
      </c>
      <c r="E41" s="22" t="n">
        <f aca="false">IF(B41=0,0,(COUNTIFS(Incident_Data!$K$2:$K$181,A41,Incident_Data!$D$2:$D$181,"Critical")+COUNTIFS(Incident_Data!$K$2:$K$181,A41,Incident_Data!$D$2:$D$181,"High"))/B41)</f>
        <v>0.393939393939394</v>
      </c>
      <c r="F41" s="22" t="n">
        <f aca="false">IFERROR(COUNTIFS(Incident_Data!$K$2:$K$181,A41,Incident_Data!$P$2:$P$181,"Yes")/(COUNTIFS(Incident_Data!$K$2:$K$181,A41,Incident_Data!$P$2:$P$181,"Yes")+COUNTIFS(Incident_Data!$K$2:$K$181,A41,Incident_Data!$P$2:$P$181,"No")),0)</f>
        <v>0.333333333333333</v>
      </c>
    </row>
    <row r="42" customFormat="false" ht="15" hidden="false" customHeight="false" outlineLevel="0" collapsed="false">
      <c r="A42" s="23" t="s">
        <v>39</v>
      </c>
      <c r="B42" s="24" t="n">
        <f aca="false">COUNTIF(Incident_Data!$K$2:$K$181,A42)</f>
        <v>28</v>
      </c>
      <c r="C42" s="29" t="n">
        <f aca="false">SUMIF(Incident_Data!$K$2:$K$181,A42,Incident_Data!$I$2:$I$181)</f>
        <v>1528133</v>
      </c>
      <c r="D42" s="29" t="n">
        <f aca="false">IF(B42=0,0,C42/B42)</f>
        <v>54576.1785714286</v>
      </c>
      <c r="E42" s="25" t="n">
        <f aca="false">IF(B42=0,0,(COUNTIFS(Incident_Data!$K$2:$K$181,A42,Incident_Data!$D$2:$D$181,"Critical")+COUNTIFS(Incident_Data!$K$2:$K$181,A42,Incident_Data!$D$2:$D$181,"High"))/B42)</f>
        <v>0.321428571428571</v>
      </c>
      <c r="F42" s="25" t="n">
        <f aca="false">IFERROR(COUNTIFS(Incident_Data!$K$2:$K$181,A42,Incident_Data!$P$2:$P$181,"Yes")/(COUNTIFS(Incident_Data!$K$2:$K$181,A42,Incident_Data!$P$2:$P$181,"Yes")+COUNTIFS(Incident_Data!$K$2:$K$181,A42,Incident_Data!$P$2:$P$181,"No")),0)</f>
        <v>0.529411764705882</v>
      </c>
    </row>
    <row r="43" customFormat="false" ht="15" hidden="false" customHeight="false" outlineLevel="0" collapsed="false">
      <c r="A43" s="19" t="s">
        <v>86</v>
      </c>
      <c r="B43" s="20" t="n">
        <f aca="false">COUNTIF(Incident_Data!$K$2:$K$181,A43)</f>
        <v>27</v>
      </c>
      <c r="C43" s="28" t="n">
        <f aca="false">SUMIF(Incident_Data!$K$2:$K$181,A43,Incident_Data!$I$2:$I$181)</f>
        <v>1452637</v>
      </c>
      <c r="D43" s="28" t="n">
        <f aca="false">IF(B43=0,0,C43/B43)</f>
        <v>53801.3703703704</v>
      </c>
      <c r="E43" s="22" t="n">
        <f aca="false">IF(B43=0,0,(COUNTIFS(Incident_Data!$K$2:$K$181,A43,Incident_Data!$D$2:$D$181,"Critical")+COUNTIFS(Incident_Data!$K$2:$K$181,A43,Incident_Data!$D$2:$D$181,"High"))/B43)</f>
        <v>0.333333333333333</v>
      </c>
      <c r="F43" s="22" t="n">
        <f aca="false">IFERROR(COUNTIFS(Incident_Data!$K$2:$K$181,A43,Incident_Data!$P$2:$P$181,"Yes")/(COUNTIFS(Incident_Data!$K$2:$K$181,A43,Incident_Data!$P$2:$P$181,"Yes")+COUNTIFS(Incident_Data!$K$2:$K$181,A43,Incident_Data!$P$2:$P$181,"No")),0)</f>
        <v>0.5625</v>
      </c>
    </row>
    <row r="44" customFormat="false" ht="15" hidden="false" customHeight="false" outlineLevel="0" collapsed="false">
      <c r="A44" s="23" t="s">
        <v>73</v>
      </c>
      <c r="B44" s="24" t="n">
        <f aca="false">COUNTIF(Incident_Data!$K$2:$K$181,A44)</f>
        <v>28</v>
      </c>
      <c r="C44" s="29" t="n">
        <f aca="false">SUMIF(Incident_Data!$K$2:$K$181,A44,Incident_Data!$I$2:$I$181)</f>
        <v>1065731</v>
      </c>
      <c r="D44" s="29" t="n">
        <f aca="false">IF(B44=0,0,C44/B44)</f>
        <v>38061.8214285714</v>
      </c>
      <c r="E44" s="25" t="n">
        <f aca="false">IF(B44=0,0,(COUNTIFS(Incident_Data!$K$2:$K$181,A44,Incident_Data!$D$2:$D$181,"Critical")+COUNTIFS(Incident_Data!$K$2:$K$181,A44,Incident_Data!$D$2:$D$181,"High"))/B44)</f>
        <v>0.392857142857143</v>
      </c>
      <c r="F44" s="25" t="n">
        <f aca="false">IFERROR(COUNTIFS(Incident_Data!$K$2:$K$181,A44,Incident_Data!$P$2:$P$181,"Yes")/(COUNTIFS(Incident_Data!$K$2:$K$181,A44,Incident_Data!$P$2:$P$181,"Yes")+COUNTIFS(Incident_Data!$K$2:$K$181,A44,Incident_Data!$P$2:$P$181,"No")),0)</f>
        <v>0.473684210526316</v>
      </c>
    </row>
    <row r="45" customFormat="false" ht="15" hidden="false" customHeight="false" outlineLevel="0" collapsed="false">
      <c r="A45" s="19" t="s">
        <v>64</v>
      </c>
      <c r="B45" s="20" t="n">
        <f aca="false">COUNTIF(Incident_Data!$K$2:$K$181,A45)</f>
        <v>19</v>
      </c>
      <c r="C45" s="28" t="n">
        <f aca="false">SUMIF(Incident_Data!$K$2:$K$181,A45,Incident_Data!$I$2:$I$181)</f>
        <v>1061329</v>
      </c>
      <c r="D45" s="28" t="n">
        <f aca="false">IF(B45=0,0,C45/B45)</f>
        <v>55859.4210526316</v>
      </c>
      <c r="E45" s="22" t="n">
        <f aca="false">IF(B45=0,0,(COUNTIFS(Incident_Data!$K$2:$K$181,A45,Incident_Data!$D$2:$D$181,"Critical")+COUNTIFS(Incident_Data!$K$2:$K$181,A45,Incident_Data!$D$2:$D$181,"High"))/B45)</f>
        <v>0.421052631578947</v>
      </c>
      <c r="F45" s="22" t="n">
        <f aca="false">IFERROR(COUNTIFS(Incident_Data!$K$2:$K$181,A45,Incident_Data!$P$2:$P$181,"Yes")/(COUNTIFS(Incident_Data!$K$2:$K$181,A45,Incident_Data!$P$2:$P$181,"Yes")+COUNTIFS(Incident_Data!$K$2:$K$181,A45,Incident_Data!$P$2:$P$181,"No")),0)</f>
        <v>0.333333333333333</v>
      </c>
    </row>
    <row r="46" customFormat="false" ht="15" hidden="false" customHeight="false" outlineLevel="0" collapsed="false">
      <c r="A46" s="23" t="s">
        <v>242</v>
      </c>
      <c r="B46" s="24" t="n">
        <f aca="false">COUNTIF(Incident_Data!$K$2:$K$181,A46)</f>
        <v>11</v>
      </c>
      <c r="C46" s="29" t="n">
        <f aca="false">SUMIF(Incident_Data!$K$2:$K$181,A46,Incident_Data!$I$2:$I$181)</f>
        <v>1043310</v>
      </c>
      <c r="D46" s="29" t="n">
        <f aca="false">IF(B46=0,0,C46/B46)</f>
        <v>94846.3636363636</v>
      </c>
      <c r="E46" s="25" t="n">
        <f aca="false">IF(B46=0,0,(COUNTIFS(Incident_Data!$K$2:$K$181,A46,Incident_Data!$D$2:$D$181,"Critical")+COUNTIFS(Incident_Data!$K$2:$K$181,A46,Incident_Data!$D$2:$D$181,"High"))/B46)</f>
        <v>0.454545454545455</v>
      </c>
      <c r="F46" s="25" t="n">
        <f aca="false">IFERROR(COUNTIFS(Incident_Data!$K$2:$K$181,A46,Incident_Data!$P$2:$P$181,"Yes")/(COUNTIFS(Incident_Data!$K$2:$K$181,A46,Incident_Data!$P$2:$P$181,"Yes")+COUNTIFS(Incident_Data!$K$2:$K$181,A46,Incident_Data!$P$2:$P$181,"No")),0)</f>
        <v>0.5</v>
      </c>
    </row>
    <row r="47" customFormat="false" ht="15" hidden="false" customHeight="false" outlineLevel="0" collapsed="false">
      <c r="A47" s="19" t="s">
        <v>50</v>
      </c>
      <c r="B47" s="20" t="n">
        <f aca="false">COUNTIF(Incident_Data!$K$2:$K$181,A47)</f>
        <v>19</v>
      </c>
      <c r="C47" s="28" t="n">
        <f aca="false">SUMIF(Incident_Data!$K$2:$K$181,A47,Incident_Data!$I$2:$I$181)</f>
        <v>880043</v>
      </c>
      <c r="D47" s="28" t="n">
        <f aca="false">IF(B47=0,0,C47/B47)</f>
        <v>46318.052631579</v>
      </c>
      <c r="E47" s="22" t="n">
        <f aca="false">IF(B47=0,0,(COUNTIFS(Incident_Data!$K$2:$K$181,A47,Incident_Data!$D$2:$D$181,"Critical")+COUNTIFS(Incident_Data!$K$2:$K$181,A47,Incident_Data!$D$2:$D$181,"High"))/B47)</f>
        <v>0.473684210526316</v>
      </c>
      <c r="F47" s="22" t="n">
        <f aca="false">IFERROR(COUNTIFS(Incident_Data!$K$2:$K$181,A47,Incident_Data!$P$2:$P$181,"Yes")/(COUNTIFS(Incident_Data!$K$2:$K$181,A47,Incident_Data!$P$2:$P$181,"Yes")+COUNTIFS(Incident_Data!$K$2:$K$181,A47,Incident_Data!$P$2:$P$181,"No")),0)</f>
        <v>0.692307692307692</v>
      </c>
    </row>
    <row r="48" customFormat="false" ht="15" hidden="false" customHeight="false" outlineLevel="0" collapsed="false">
      <c r="A48" s="23" t="s">
        <v>212</v>
      </c>
      <c r="B48" s="24" t="n">
        <f aca="false">COUNTIF(Incident_Data!$K$2:$K$181,A48)</f>
        <v>5</v>
      </c>
      <c r="C48" s="29" t="n">
        <f aca="false">SUMIF(Incident_Data!$K$2:$K$181,A48,Incident_Data!$I$2:$I$181)</f>
        <v>692530</v>
      </c>
      <c r="D48" s="29" t="n">
        <f aca="false">IF(B48=0,0,C48/B48)</f>
        <v>138506</v>
      </c>
      <c r="E48" s="25" t="n">
        <f aca="false">IF(B48=0,0,(COUNTIFS(Incident_Data!$K$2:$K$181,A48,Incident_Data!$D$2:$D$181,"Critical")+COUNTIFS(Incident_Data!$K$2:$K$181,A48,Incident_Data!$D$2:$D$181,"High"))/B48)</f>
        <v>1</v>
      </c>
      <c r="F48" s="25" t="n">
        <f aca="false">IFERROR(COUNTIFS(Incident_Data!$K$2:$K$181,A48,Incident_Data!$P$2:$P$181,"Yes")/(COUNTIFS(Incident_Data!$K$2:$K$181,A48,Incident_Data!$P$2:$P$181,"Yes")+COUNTIFS(Incident_Data!$K$2:$K$181,A48,Incident_Data!$P$2:$P$181,"No")),0)</f>
        <v>0.333333333333333</v>
      </c>
    </row>
    <row r="49" customFormat="false" ht="15" hidden="false" customHeight="false" outlineLevel="0" collapsed="false">
      <c r="A49" s="19" t="s">
        <v>203</v>
      </c>
      <c r="B49" s="20" t="n">
        <f aca="false">COUNTIF(Incident_Data!$K$2:$K$181,A49)</f>
        <v>6</v>
      </c>
      <c r="C49" s="28" t="n">
        <f aca="false">SUMIF(Incident_Data!$K$2:$K$181,A49,Incident_Data!$I$2:$I$181)</f>
        <v>557330</v>
      </c>
      <c r="D49" s="28" t="n">
        <f aca="false">IF(B49=0,0,C49/B49)</f>
        <v>92888.3333333333</v>
      </c>
      <c r="E49" s="22" t="n">
        <f aca="false">IF(B49=0,0,(COUNTIFS(Incident_Data!$K$2:$K$181,A49,Incident_Data!$D$2:$D$181,"Critical")+COUNTIFS(Incident_Data!$K$2:$K$181,A49,Incident_Data!$D$2:$D$181,"High"))/B49)</f>
        <v>0.333333333333333</v>
      </c>
      <c r="F49" s="22" t="n">
        <f aca="false">IFERROR(COUNTIFS(Incident_Data!$K$2:$K$181,A49,Incident_Data!$P$2:$P$181,"Yes")/(COUNTIFS(Incident_Data!$K$2:$K$181,A49,Incident_Data!$P$2:$P$181,"Yes")+COUNTIFS(Incident_Data!$K$2:$K$181,A49,Incident_Data!$P$2:$P$181,"No")),0)</f>
        <v>0.166666666666667</v>
      </c>
    </row>
    <row r="50" customFormat="false" ht="15" hidden="false" customHeight="false" outlineLevel="0" collapsed="false">
      <c r="A50" s="23" t="s">
        <v>197</v>
      </c>
      <c r="B50" s="24" t="n">
        <f aca="false">COUNTIF(Incident_Data!$K$2:$K$181,A50)</f>
        <v>3</v>
      </c>
      <c r="C50" s="29" t="n">
        <f aca="false">SUMIF(Incident_Data!$K$2:$K$181,A50,Incident_Data!$I$2:$I$181)</f>
        <v>62510</v>
      </c>
      <c r="D50" s="29" t="n">
        <f aca="false">IF(B50=0,0,C50/B50)</f>
        <v>20836.6666666667</v>
      </c>
      <c r="E50" s="25" t="n">
        <f aca="false">IF(B50=0,0,(COUNTIFS(Incident_Data!$K$2:$K$181,A50,Incident_Data!$D$2:$D$181,"Critical")+COUNTIFS(Incident_Data!$K$2:$K$181,A50,Incident_Data!$D$2:$D$181,"High"))/B50)</f>
        <v>0.333333333333333</v>
      </c>
      <c r="F50" s="25" t="n">
        <f aca="false">IFERROR(COUNTIFS(Incident_Data!$K$2:$K$181,A50,Incident_Data!$P$2:$P$181,"Yes")/(COUNTIFS(Incident_Data!$K$2:$K$181,A50,Incident_Data!$P$2:$P$181,"Yes")+COUNTIFS(Incident_Data!$K$2:$K$181,A50,Incident_Data!$P$2:$P$181,"No")),0)</f>
        <v>0</v>
      </c>
    </row>
    <row r="51" customFormat="false" ht="15" hidden="false" customHeight="false" outlineLevel="0" collapsed="false">
      <c r="A51" s="19" t="s">
        <v>286</v>
      </c>
      <c r="B51" s="20" t="n">
        <f aca="false">COUNTIF(Incident_Data!$K$2:$K$181,A51)</f>
        <v>1</v>
      </c>
      <c r="C51" s="28" t="n">
        <f aca="false">SUMIF(Incident_Data!$K$2:$K$181,A51,Incident_Data!$I$2:$I$181)</f>
        <v>17400</v>
      </c>
      <c r="D51" s="28" t="n">
        <f aca="false">IF(B51=0,0,C51/B51)</f>
        <v>17400</v>
      </c>
      <c r="E51" s="22" t="n">
        <f aca="false">IF(B51=0,0,(COUNTIFS(Incident_Data!$K$2:$K$181,A51,Incident_Data!$D$2:$D$181,"Critical")+COUNTIFS(Incident_Data!$K$2:$K$181,A51,Incident_Data!$D$2:$D$181,"High"))/B51)</f>
        <v>1</v>
      </c>
      <c r="F51" s="22" t="n">
        <f aca="false">IFERROR(COUNTIFS(Incident_Data!$K$2:$K$181,A51,Incident_Data!$P$2:$P$181,"Yes")/(COUNTIFS(Incident_Data!$K$2:$K$181,A51,Incident_Data!$P$2:$P$181,"Yes")+COUNTIFS(Incident_Data!$K$2:$K$181,A51,Incident_Data!$P$2:$P$181,"No")),0)</f>
        <v>1</v>
      </c>
    </row>
    <row r="53" customFormat="false" ht="30" hidden="false" customHeight="true" outlineLevel="0" collapsed="false">
      <c r="A53" s="32" t="s">
        <v>413</v>
      </c>
      <c r="B53" s="32"/>
      <c r="C53" s="32"/>
      <c r="D53" s="32"/>
      <c r="E53" s="32"/>
      <c r="F53" s="32"/>
    </row>
  </sheetData>
  <mergeCells count="1">
    <mergeCell ref="A53:F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2"/>
    <col collapsed="false" customWidth="true" hidden="false" outlineLevel="0" max="3" min="3" style="1" width="28"/>
    <col collapsed="false" customWidth="true" hidden="false" outlineLevel="0" max="4" min="4" style="1" width="32"/>
    <col collapsed="false" customWidth="true" hidden="false" outlineLevel="0" max="5" min="5" style="1" width="24"/>
    <col collapsed="false" customWidth="true" hidden="false" outlineLevel="0" max="6" min="6" style="1" width="34"/>
  </cols>
  <sheetData>
    <row r="1" customFormat="false" ht="18.55" hidden="false" customHeight="false" outlineLevel="0" collapsed="false">
      <c r="A1" s="16" t="s">
        <v>414</v>
      </c>
    </row>
    <row r="2" customFormat="false" ht="15" hidden="false" customHeight="false" outlineLevel="0" collapsed="false">
      <c r="A2" s="17" t="s">
        <v>415</v>
      </c>
    </row>
    <row r="4" customFormat="false" ht="33.75" hidden="false" customHeight="true" outlineLevel="0" collapsed="false">
      <c r="A4" s="21" t="s">
        <v>416</v>
      </c>
      <c r="B4" s="21" t="s">
        <v>417</v>
      </c>
      <c r="C4" s="21" t="s">
        <v>418</v>
      </c>
      <c r="D4" s="21" t="s">
        <v>419</v>
      </c>
      <c r="E4" s="21" t="s">
        <v>420</v>
      </c>
      <c r="F4" s="21" t="s">
        <v>421</v>
      </c>
    </row>
    <row r="5" customFormat="false" ht="109.5" hidden="false" customHeight="true" outlineLevel="0" collapsed="false">
      <c r="A5" s="33" t="s">
        <v>422</v>
      </c>
      <c r="B5" s="34" t="s">
        <v>423</v>
      </c>
      <c r="C5" s="34" t="s">
        <v>424</v>
      </c>
      <c r="D5" s="34" t="s">
        <v>425</v>
      </c>
      <c r="E5" s="34" t="s">
        <v>426</v>
      </c>
      <c r="F5" s="34" t="s">
        <v>427</v>
      </c>
    </row>
    <row r="6" customFormat="false" ht="109.5" hidden="false" customHeight="true" outlineLevel="0" collapsed="false">
      <c r="A6" s="35" t="s">
        <v>428</v>
      </c>
      <c r="B6" s="36" t="s">
        <v>429</v>
      </c>
      <c r="C6" s="36" t="s">
        <v>430</v>
      </c>
      <c r="D6" s="36" t="s">
        <v>431</v>
      </c>
      <c r="E6" s="36" t="s">
        <v>432</v>
      </c>
      <c r="F6" s="36" t="s">
        <v>433</v>
      </c>
    </row>
    <row r="7" customFormat="false" ht="109.5" hidden="false" customHeight="true" outlineLevel="0" collapsed="false">
      <c r="A7" s="33" t="s">
        <v>434</v>
      </c>
      <c r="B7" s="34" t="s">
        <v>435</v>
      </c>
      <c r="C7" s="34" t="s">
        <v>436</v>
      </c>
      <c r="D7" s="34" t="s">
        <v>437</v>
      </c>
      <c r="E7" s="34" t="s">
        <v>438</v>
      </c>
      <c r="F7" s="34" t="s">
        <v>439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2026-09-25T09:20:03Z</dcterms:created>
  <dc:creator>openpyxl</dc:creator>
  <dc:description/>
  <dc:language>en-US</dc:language>
  <cp:lastModifiedBy/>
  <dcterms:modified xsi:type="dcterms:W3CDTF">2026-09-25T09:21:25Z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